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발 일정표" sheetId="1" r:id="rId5"/>
    <sheet state="visible" name="담당자별 요약" sheetId="2" r:id="rId6"/>
  </sheets>
  <definedNames/>
  <calcPr/>
</workbook>
</file>

<file path=xl/sharedStrings.xml><?xml version="1.0" encoding="utf-8"?>
<sst xmlns="http://schemas.openxmlformats.org/spreadsheetml/2006/main" count="392" uniqueCount="219">
  <si>
    <t>팀 프로젝트 개발 일정표</t>
  </si>
  <si>
    <t>담당자별 작업 요약</t>
  </si>
  <si>
    <t>전체 작업</t>
  </si>
  <si>
    <t>완료된 작업</t>
  </si>
  <si>
    <t>진행률</t>
  </si>
  <si>
    <t>담당자</t>
  </si>
  <si>
    <t>송태현</t>
  </si>
  <si>
    <t>조종현</t>
  </si>
  <si>
    <t>git 계정</t>
  </si>
  <si>
    <t>구영주</t>
  </si>
  <si>
    <t>전체</t>
  </si>
  <si>
    <t>완료</t>
  </si>
  <si>
    <t>김현서</t>
  </si>
  <si>
    <t>진행 중</t>
  </si>
  <si>
    <t>대기</t>
  </si>
  <si>
    <t>완료율</t>
  </si>
  <si>
    <t>Taehyun-0502</t>
  </si>
  <si>
    <t>분류</t>
  </si>
  <si>
    <t>항목</t>
  </si>
  <si>
    <t>기능</t>
  </si>
  <si>
    <t>상세기능</t>
  </si>
  <si>
    <t>시작일</t>
  </si>
  <si>
    <t>종료일</t>
  </si>
  <si>
    <t>상태</t>
  </si>
  <si>
    <t>비고</t>
  </si>
  <si>
    <t>Jonghyun / zxc159285-prog</t>
  </si>
  <si>
    <t>greyth93-ship-it</t>
  </si>
  <si>
    <t>hyunseo0504 (HS)</t>
  </si>
  <si>
    <t>공통/인프라</t>
  </si>
  <si>
    <t>프로젝트 초기 구성</t>
  </si>
  <si>
    <t>저장소·기본 골격</t>
  </si>
  <si>
    <t>Spring Boot(JPA)+React(Vite)+FastAPI 3분할 구조, 공통 응답 포맷(ApiResponse)·전역 예외 처리</t>
  </si>
  <si>
    <t>합계</t>
  </si>
  <si>
    <t>※ 일정·담당자는 pet_project git 커밋 이력(2026-08-04 ~ 2026-09-01)과 docs/roadmap.md 기준으로 산출했습니다. '대기' 항목은 미착수·예정 작업이며 종료일은 예상치입니다. 디바이스 도메인은 담당 팀 합의 대기 상태입니다.</t>
  </si>
  <si>
    <t>계정 관리</t>
  </si>
  <si>
    <t>회원가입/로그인</t>
  </si>
  <si>
    <t>가입·로그인·JWT 발급</t>
  </si>
  <si>
    <t>BCrypt 해시, JWT(HS512) 발급·검증, 가입/로그인 폼</t>
  </si>
  <si>
    <t>AI 진단</t>
  </si>
  <si>
    <t>피부 질환 모델</t>
  </si>
  <si>
    <t>1차 이진분류 모델</t>
  </si>
  <si>
    <t>피부 병변 유무 분류 모델 학습</t>
  </si>
  <si>
    <t>리프레시 토큰</t>
  </si>
  <si>
    <t>DB 해시 저장+HttpOnly 쿠키, 회전·재사용 감지, 프론트 자동 재발급</t>
  </si>
  <si>
    <t>반려동물</t>
  </si>
  <si>
    <t>펫 도메인</t>
  </si>
  <si>
    <t>등록·목록</t>
  </si>
  <si>
    <t>pet 테이블(회원 1:N), 등록 폼·홈 목록</t>
  </si>
  <si>
    <t>오픈채팅</t>
  </si>
  <si>
    <t>채팅 기본</t>
  </si>
  <si>
    <t>방 생성·입장·메시지</t>
  </si>
  <si>
    <t>chat_room·chat_room_member·chat_message, 방 목록·입장·메시지 송수신</t>
  </si>
  <si>
    <t>채팅 권한</t>
  </si>
  <si>
    <t>방장·매니저·강퇴·위임</t>
  </si>
  <si>
    <t>방 내 role 3종, 강퇴 이력 재입장 차단, 방장 위임·방 삭제</t>
  </si>
  <si>
    <t>실시간 전환</t>
  </si>
  <si>
    <t>WebSocket(STOMP)</t>
  </si>
  <si>
    <t>폴링→STOMP 전환, 재연결 시 afterId 복구</t>
  </si>
  <si>
    <t>숏츠</t>
  </si>
  <si>
    <t>숏츠 기본</t>
  </si>
  <si>
    <t>업로드·피드</t>
  </si>
  <si>
    <t>shorts 테이블·Storage 버킷, 업로드·피드 화면</t>
  </si>
  <si>
    <t>지도</t>
  </si>
  <si>
    <t>장소 검색</t>
  </si>
  <si>
    <t>카카오 장소 API</t>
  </si>
  <si>
    <t>주변 병원·카페·미용샵 카테고리 검색+현위치 지원</t>
  </si>
  <si>
    <t>DB 연결</t>
  </si>
  <si>
    <t>트랜잭션 풀러 전환</t>
  </si>
  <si>
    <t>pooler 6543 + prepareThreshold=0 (팀 4명 세션 슬롯 고갈 해소)</t>
  </si>
  <si>
    <t>팀 전원 .env 변경</t>
  </si>
  <si>
    <t>펫 CRUD</t>
  </si>
  <si>
    <t>상세·수정·삭제</t>
  </si>
  <si>
    <t>소유자 조건 쿼리로 404 통일, PUT 전체 교체, 소프트 삭제</t>
  </si>
  <si>
    <t>AI 장소 추천</t>
  </si>
  <si>
    <t>챗봇 tool use</t>
  </si>
  <si>
    <t>Claude tool use+카카오 장소 검색 결합(/api/ai-search)</t>
  </si>
  <si>
    <t>지도 UI</t>
  </si>
  <si>
    <t>모바일 퍼스트 리디자인</t>
  </si>
  <si>
    <t>360px 기준, 검색바·토글 정비, 결과 없음 토스트, 축척 유지</t>
  </si>
  <si>
    <t>안정화</t>
  </si>
  <si>
    <t>/map 병합 유실 복원</t>
  </si>
  <si>
    <t>PLACE_SEARCH_FAILED 수정, 병합 유실 설정·상수 복원</t>
  </si>
  <si>
    <t>알고리즘</t>
  </si>
  <si>
    <t>피드 정렬</t>
  </si>
  <si>
    <t>피드 노출 알고리즘</t>
  </si>
  <si>
    <t>2차 세부 질병 모델</t>
  </si>
  <si>
    <t>1차 통과 이미지의 세부 질병 분류</t>
  </si>
  <si>
    <t>융합 모델</t>
  </si>
  <si>
    <t>종합검사 모델</t>
  </si>
  <si>
    <t>피부 2차 모델 최종 수정+종합검사 모델·기능 추가</t>
  </si>
  <si>
    <t>마이페이지</t>
  </si>
  <si>
    <t>비밀번호 변경·이름 수정</t>
  </si>
  <si>
    <t>PATCH /me/password(타 기기 폐기)·PATCH /me, 마이페이지 골격</t>
  </si>
  <si>
    <t>소셜 로그인</t>
  </si>
  <si>
    <t>카카오 로그인</t>
  </si>
  <si>
    <t>POST /login/kakao, 이메일 미제공 허용, 자동 가입</t>
  </si>
  <si>
    <t>프로필 사진</t>
  </si>
  <si>
    <t>펫·회원 사진 업로드</t>
  </si>
  <si>
    <t>Storage profiles 버킷, 고정 경로 upsert+캐시버스터, 브라우저 리사이징</t>
  </si>
  <si>
    <t>채팅 편의</t>
  </si>
  <si>
    <t>아바타·안 읽은 배지</t>
  </si>
  <si>
    <t>메시지·참여자 응답에 프로필 사진, last_read_message_id·목록 배지(99+)</t>
  </si>
  <si>
    <t>서빙</t>
  </si>
  <si>
    <t>FastAPI 모델 서버</t>
  </si>
  <si>
    <t>진단 API 서빙·프론트 연동, 모델 수정</t>
  </si>
  <si>
    <t>부가 기능</t>
  </si>
  <si>
    <t>댓글·화면 보완</t>
  </si>
  <si>
    <t>숏츠 댓글·버튼·화면 보완</t>
  </si>
  <si>
    <t>보안</t>
  </si>
  <si>
    <t>로그인 기기 관리</t>
  </si>
  <si>
    <t>session_id(UUID)·기기 목록·원격 로그아웃, 만료 토큰 정리 배치</t>
  </si>
  <si>
    <t>회원 탈퇴</t>
  </si>
  <si>
    <t>소프트 삭제+전 토큰 폐기</t>
  </si>
  <si>
    <t>본인 확인(비번/문구), 방장 방 보유 409, 참여 방 일괄 나가기</t>
  </si>
  <si>
    <t>방 프로필</t>
  </si>
  <si>
    <t>카테고리·정원·소개</t>
  </si>
  <si>
    <t>category 4종·정원 검사 409, OWNER 방 수정(전체 교체)</t>
  </si>
  <si>
    <t>검색·필터</t>
  </si>
  <si>
    <t>방 검색·정렬</t>
  </si>
  <si>
    <t>keyword(이름+소개 ILIKE)·카테고리 칩·참여자순 토글</t>
  </si>
  <si>
    <t>메시지</t>
  </si>
  <si>
    <t>과거 페이지네이션·공지 핀</t>
  </si>
  <si>
    <t>beforeId 50개+스크롤 위치 보정, 방당 1개 공지 핀(실시간 갱신)</t>
  </si>
  <si>
    <t>공통/UI</t>
  </si>
  <si>
    <t>온보딩</t>
  </si>
  <si>
    <t>가입 직후 펫 등록 유도</t>
  </si>
  <si>
    <t>/welcome 1회 노출, 자동 로그인 연계, 등록 시 사진 포함</t>
  </si>
  <si>
    <t>프론트 구조 정리</t>
  </si>
  <si>
    <t>라우터·폼·CSS 정리</t>
  </si>
  <si>
    <t>RequireLogin 레이아웃·404·returnTo, 마이페이지 탭 분리, forms.css</t>
  </si>
  <si>
    <t>품질</t>
  </si>
  <si>
    <t>리뷰 백로그 처리(상시)</t>
  </si>
  <si>
    <t>데이터 무결성(@Version·@DynamicUpdate)·이메일 정규화·폼 공용화(useForm/Field) 등</t>
  </si>
  <si>
    <t>리뷰 지적 100여 건 누적 처리</t>
  </si>
  <si>
    <t>인증 강화</t>
  </si>
  <si>
    <t>P1 결함 6건(9차 리뷰)</t>
  </si>
  <si>
    <t>회전 유예 구멍·원격 로그아웃 TOCTOU·탈퇴 즉시 무효화·복구 커서 분리</t>
  </si>
  <si>
    <t>산책</t>
  </si>
  <si>
    <t>산책로</t>
  </si>
  <si>
    <t>산책로 추가</t>
  </si>
  <si>
    <t>산책로 데이터·화면</t>
  </si>
  <si>
    <t>광고</t>
  </si>
  <si>
    <t>광고 도메인</t>
  </si>
  <si>
    <t>광고 데이터·노출</t>
  </si>
  <si>
    <t>advertisements 테이블·광고 노출(/api/ads)</t>
  </si>
  <si>
    <t>모바일 대응</t>
  </si>
  <si>
    <t>모바일 퍼스트 수정</t>
  </si>
  <si>
    <t>모바일 퍼스트 레이아웃·셀렉트바 정비</t>
  </si>
  <si>
    <t>닉네임</t>
  </si>
  <si>
    <t>닉네임 유니크·카카오 임의 이름</t>
  </si>
  <si>
    <t>lower(name) 활성 유니크 인덱스, 카카오 가입 임의 닉네임 생성</t>
  </si>
  <si>
    <t>이미지 전송</t>
  </si>
  <si>
    <t>채팅 이미지 메시지</t>
  </si>
  <si>
    <t>chat-images 공개 버킷+추측 불가 경로, 본문·이미지 XOR CHECK</t>
  </si>
  <si>
    <t>방 고정</t>
  </si>
  <si>
    <t>내 방 목록·상단 고정</t>
  </si>
  <si>
    <t>GET /rooms/mine, pinned_at 고정/해제</t>
  </si>
  <si>
    <t>공통 규약</t>
  </si>
  <si>
    <t>에러 코드 도메인 분리</t>
  </si>
  <si>
    <t>도메인별 XxxErrorCode enum + 전역 유일 code 문자열 계약</t>
  </si>
  <si>
    <t>리포트</t>
  </si>
  <si>
    <t>진단서 PDF</t>
  </si>
  <si>
    <t>진단 결과 PDF 진단서 출력</t>
  </si>
  <si>
    <t>유지보수</t>
  </si>
  <si>
    <t>지도 수정</t>
  </si>
  <si>
    <t>지도 화면·검색 보완</t>
  </si>
  <si>
    <t>인증·회원 백로그</t>
  </si>
  <si>
    <t>공개 경로·쿠키·타이밍</t>
  </si>
  <si>
    <t>공개 경로 단일 출처화, 재발급 거부 시 쿠키 삭제, BCrypt 타이밍 균등화</t>
  </si>
  <si>
    <t>프론트 인증 통합</t>
  </si>
  <si>
    <t>세션 만료 일원화</t>
  </si>
  <si>
    <t>setOnSessionExpired·인증 세대 번호, 로그아웃 실패 탈출구</t>
  </si>
  <si>
    <t>산책 QA</t>
  </si>
  <si>
    <t>산책 후속 수정</t>
  </si>
  <si>
    <t>base_time 규격·QA 지적(M-1~M-5, L-2~L-5) 처리</t>
  </si>
  <si>
    <t>알림</t>
  </si>
  <si>
    <t>산책 알림</t>
  </si>
  <si>
    <t>산책 알림 추가</t>
  </si>
  <si>
    <t>AI 비서</t>
  </si>
  <si>
    <t>비서 알림</t>
  </si>
  <si>
    <t>MCP 등록 안내</t>
  </si>
  <si>
    <t>비서 알림 하단 MCP 등록 안내 배너(Desktop 미등록 시 노출)</t>
  </si>
  <si>
    <t>병원 연계</t>
  </si>
  <si>
    <t>진단 후 병원 노출</t>
  </si>
  <si>
    <t>진단 결과에서 버튼 클릭 시 주변 동물병원 지도 노출</t>
  </si>
  <si>
    <t>배포</t>
  </si>
  <si>
    <t>EC2+nginx+CI/CD</t>
  </si>
  <si>
    <t>GitHub Actions(main push 자동 배포), HTTPS(duckdns), WS 프록시·SPA fallback</t>
  </si>
  <si>
    <t>dddang.duckdns.org</t>
  </si>
  <si>
    <t>배포 지원</t>
  </si>
  <si>
    <t>HTTPS·실행 환경</t>
  </si>
  <si>
    <t>https 적용, launch.json 백엔드·모델 서버 실행 항목</t>
  </si>
  <si>
    <t>모바일 앱</t>
  </si>
  <si>
    <t>PWA·앱 연동</t>
  </si>
  <si>
    <t>app 래핑·colab 연동, AI 백엔드 헤더 정리</t>
  </si>
  <si>
    <t>촬영</t>
  </si>
  <si>
    <t>카메라 촬영</t>
  </si>
  <si>
    <t>앱 내 카메라 촬영·업로드 연결</t>
  </si>
  <si>
    <t>썸네일</t>
  </si>
  <si>
    <t>썸네일 생성</t>
  </si>
  <si>
    <t>업로드 영상 썸네일 생성</t>
  </si>
  <si>
    <t>디자인 시스템</t>
  </si>
  <si>
    <t>홈·전 화면 리디자인</t>
  </si>
  <si>
    <t>modernist.css(.mn 스코프), 홈·하단 앱바·로그인 화면 정비</t>
  </si>
  <si>
    <t>UI</t>
  </si>
  <si>
    <t>폼·너비 조정</t>
  </si>
  <si>
    <t>업로드 폼·숏츠 너비·화면 조정</t>
  </si>
  <si>
    <t>광고 배너</t>
  </si>
  <si>
    <t>홈 광고 배너 노출</t>
  </si>
  <si>
    <t>홈 배너 추가·수정</t>
  </si>
  <si>
    <t>리팩토링</t>
  </si>
  <si>
    <t>코드 정리</t>
  </si>
  <si>
    <t>지도·산책 코드 리팩토링</t>
  </si>
  <si>
    <t>펫 정렬</t>
  </si>
  <si>
    <t>노출 순서 저장</t>
  </si>
  <si>
    <t>PUT /api/pets/order, sort_order 정렬(널은 뒤)</t>
  </si>
  <si>
    <t>마무리</t>
  </si>
  <si>
    <t>채팅·홈 백로그 정리</t>
  </si>
  <si>
    <t>채팅 백로그·홈 펫 프로필 노출 수·아이콘 정리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</si>
</sst>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M/d"/>
    <numFmt numFmtId="166" formatCode="yyyy\-mm\-dd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1F3864"/>
      <name val="Noto Sans"/>
    </font>
    <font>
      <b/>
      <sz val="14.0"/>
      <color rgb="FF1F3864"/>
      <name val="Noto Sans"/>
    </font>
    <font>
      <b/>
      <sz val="10.0"/>
      <color rgb="FF444444"/>
      <name val="Noto Sans"/>
    </font>
    <font>
      <b/>
      <sz val="10.0"/>
      <color theme="1"/>
      <name val="Noto Sans"/>
    </font>
    <font>
      <b/>
      <sz val="11.0"/>
      <color rgb="FFFFFFFF"/>
      <name val="Noto Sans"/>
    </font>
    <font>
      <b/>
      <sz val="11.0"/>
      <color rgb="FFFFFFFF"/>
      <name val="Arial"/>
    </font>
    <font>
      <sz val="10.0"/>
      <color theme="1"/>
      <name val="Noto Sans"/>
    </font>
    <font>
      <sz val="10.0"/>
      <color theme="1"/>
      <name val="Arial"/>
    </font>
    <font>
      <b/>
      <sz val="18.0"/>
      <color rgb="FF1F3864"/>
      <name val="Arial"/>
    </font>
    <font>
      <b/>
      <sz val="8.0"/>
      <color rgb="FFFFFFFF"/>
      <name val="Arial"/>
    </font>
    <font>
      <b/>
      <sz val="10.0"/>
      <color theme="1"/>
      <name val="Arial"/>
    </font>
    <font>
      <i/>
      <sz val="9.0"/>
      <color rgb="FF808080"/>
      <name val="Noto Sans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DD7EE"/>
        <bgColor rgb="FFBDD7EE"/>
      </patternFill>
    </fill>
    <fill>
      <patternFill patternType="solid">
        <fgColor rgb="FF44546A"/>
        <bgColor rgb="FF44546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E8A33D"/>
        <bgColor rgb="FFE8A33D"/>
      </patternFill>
    </fill>
    <fill>
      <patternFill patternType="solid">
        <fgColor rgb="FFCC4B4B"/>
        <bgColor rgb="FFCC4B4B"/>
      </patternFill>
    </fill>
    <fill>
      <patternFill patternType="solid">
        <fgColor rgb="FF7F8FA6"/>
        <bgColor rgb="FF7F8FA6"/>
      </patternFill>
    </fill>
    <fill>
      <patternFill patternType="solid">
        <fgColor rgb="FFAEB6C2"/>
        <bgColor rgb="FFAEB6C2"/>
      </patternFill>
    </fill>
    <fill>
      <patternFill patternType="solid">
        <fgColor rgb="FFFFFFFF"/>
        <bgColor rgb="FFFFFFFF"/>
      </patternFill>
    </fill>
    <fill>
      <patternFill patternType="solid">
        <fgColor rgb="FFF7F8FA"/>
        <bgColor rgb="FFF7F8FA"/>
      </patternFill>
    </fill>
  </fills>
  <borders count="3">
    <border/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2" fillId="4" fontId="6" numFmtId="0" xfId="0" applyAlignment="1" applyBorder="1" applyFill="1" applyFont="1">
      <alignment horizontal="center"/>
    </xf>
    <xf borderId="2" fillId="5" fontId="5" numFmtId="0" xfId="0" applyAlignment="1" applyBorder="1" applyFill="1" applyFont="1">
      <alignment horizontal="center" vertical="center"/>
    </xf>
    <xf borderId="2" fillId="4" fontId="7" numFmtId="0" xfId="0" applyAlignment="1" applyBorder="1" applyFill="1" applyFont="1">
      <alignment horizontal="center"/>
    </xf>
    <xf borderId="2" fillId="6" fontId="5" numFmtId="0" xfId="0" applyAlignment="1" applyBorder="1" applyFill="1" applyFont="1">
      <alignment horizontal="center" vertical="center"/>
    </xf>
    <xf borderId="2" fillId="7" fontId="5" numFmtId="0" xfId="0" applyAlignment="1" applyBorder="1" applyFill="1" applyFont="1">
      <alignment horizontal="center" vertical="center"/>
    </xf>
    <xf borderId="2" fillId="3" fontId="8" numFmtId="0" xfId="0" applyAlignment="1" applyBorder="1" applyFill="1" applyFont="1">
      <alignment horizontal="center"/>
    </xf>
    <xf borderId="2" fillId="0" fontId="9" numFmtId="0" xfId="0" applyBorder="1" applyFont="1"/>
    <xf borderId="1" fillId="2" fontId="10" numFmtId="0" xfId="0" applyAlignment="1" applyBorder="1" applyFill="1" applyFont="1">
      <alignment horizontal="center" vertical="center"/>
    </xf>
    <xf borderId="2" fillId="0" fontId="9" numFmtId="0" xfId="0" applyAlignment="1" applyBorder="1" applyFont="1">
      <alignment horizontal="center"/>
    </xf>
    <xf borderId="1" fillId="2" fontId="10" numFmtId="164" xfId="0" applyAlignment="1" applyBorder="1" applyFill="1" applyFont="1" applyNumberFormat="1">
      <alignment horizontal="center" vertical="center"/>
    </xf>
    <xf borderId="2" fillId="8" fontId="1" numFmtId="0" xfId="0" applyBorder="1" applyFill="1" applyFont="1"/>
    <xf borderId="2" fillId="9" fontId="1" numFmtId="0" xfId="0" applyBorder="1" applyFill="1" applyFont="1"/>
    <xf borderId="2" fillId="10" fontId="1" numFmtId="0" xfId="0" applyBorder="1" applyFill="1" applyFont="1"/>
    <xf borderId="2" fillId="11" fontId="1" numFmtId="0" xfId="0" applyBorder="1" applyFill="1" applyFont="1"/>
    <xf borderId="2" fillId="4" fontId="6" numFmtId="0" xfId="0" applyAlignment="1" applyBorder="1" applyFill="1" applyFont="1">
      <alignment horizontal="center" vertical="center"/>
    </xf>
    <xf borderId="2" fillId="0" fontId="9" numFmtId="164" xfId="0" applyAlignment="1" applyBorder="1" applyFont="1" applyNumberFormat="1">
      <alignment horizontal="center"/>
    </xf>
    <xf borderId="2" fillId="5" fontId="8" numFmtId="0" xfId="0" applyAlignment="1" applyBorder="1" applyFill="1" applyFont="1">
      <alignment horizontal="center"/>
    </xf>
    <xf borderId="2" fillId="12" fontId="11" numFmtId="165" xfId="0" applyAlignment="1" applyBorder="1" applyFill="1" applyFont="1" applyNumberFormat="1">
      <alignment horizontal="center" vertical="center"/>
    </xf>
    <xf borderId="2" fillId="13" fontId="11" numFmtId="165" xfId="0" applyAlignment="1" applyBorder="1" applyFill="1" applyFont="1" applyNumberFormat="1">
      <alignment horizontal="center" vertical="center"/>
    </xf>
    <xf borderId="2" fillId="6" fontId="8" numFmtId="0" xfId="0" applyAlignment="1" applyBorder="1" applyFill="1" applyFont="1">
      <alignment horizontal="center"/>
    </xf>
    <xf borderId="2" fillId="7" fontId="8" numFmtId="0" xfId="0" applyAlignment="1" applyBorder="1" applyFill="1" applyFont="1">
      <alignment horizontal="center"/>
    </xf>
    <xf borderId="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left" vertical="center"/>
    </xf>
    <xf borderId="2" fillId="0" fontId="9" numFmtId="0" xfId="0" applyAlignment="1" applyBorder="1" applyFont="1">
      <alignment horizontal="left" shrinkToFit="0" vertical="center" wrapText="1"/>
    </xf>
    <xf borderId="2" fillId="0" fontId="9" numFmtId="166" xfId="0" applyAlignment="1" applyBorder="1" applyFont="1" applyNumberFormat="1">
      <alignment horizontal="center" vertical="center"/>
    </xf>
    <xf borderId="2" fillId="3" fontId="8" numFmtId="0" xfId="0" applyAlignment="1" applyBorder="1" applyFill="1" applyFont="1">
      <alignment horizontal="center" vertical="center"/>
    </xf>
    <xf borderId="2" fillId="2" fontId="5" numFmtId="0" xfId="0" applyAlignment="1" applyBorder="1" applyFill="1" applyFont="1">
      <alignment horizontal="center"/>
    </xf>
    <xf borderId="2" fillId="5" fontId="8" numFmtId="0" xfId="0" applyAlignment="1" applyBorder="1" applyFill="1" applyFont="1">
      <alignment horizontal="center" vertical="center"/>
    </xf>
    <xf borderId="2" fillId="2" fontId="12" numFmtId="0" xfId="0" applyBorder="1" applyFill="1" applyFont="1"/>
    <xf borderId="2" fillId="14" fontId="1" numFmtId="0" xfId="0" applyBorder="1" applyFill="1" applyFont="1"/>
    <xf borderId="2" fillId="2" fontId="12" numFmtId="164" xfId="0" applyAlignment="1" applyBorder="1" applyFill="1" applyFont="1" applyNumberFormat="1">
      <alignment horizontal="center"/>
    </xf>
    <xf borderId="0" fillId="0" fontId="13" numFmtId="0" xfId="0" applyFont="1"/>
    <xf borderId="2" fillId="15" fontId="8" numFmtId="0" xfId="0" applyAlignment="1" applyBorder="1" applyFill="1" applyFont="1">
      <alignment horizontal="center" vertical="center"/>
    </xf>
    <xf borderId="2" fillId="15" fontId="8" numFmtId="0" xfId="0" applyAlignment="1" applyBorder="1" applyFill="1" applyFont="1">
      <alignment horizontal="left" vertical="center"/>
    </xf>
    <xf borderId="2" fillId="15" fontId="8" numFmtId="0" xfId="0" applyAlignment="1" applyBorder="1" applyFill="1" applyFont="1">
      <alignment horizontal="left" shrinkToFit="0" vertical="center" wrapText="1"/>
    </xf>
    <xf borderId="2" fillId="15" fontId="9" numFmtId="166" xfId="0" applyAlignment="1" applyBorder="1" applyFill="1" applyFont="1" applyNumberFormat="1">
      <alignment horizontal="center" vertical="center"/>
    </xf>
    <xf borderId="2" fillId="0" fontId="8" numFmtId="0" xfId="0" applyAlignment="1" applyBorder="1" applyFont="1">
      <alignment horizontal="left" shrinkToFit="0" vertical="center" wrapText="1"/>
    </xf>
    <xf borderId="2" fillId="15" fontId="9" numFmtId="0" xfId="0" applyAlignment="1" applyBorder="1" applyFill="1" applyFont="1">
      <alignment horizontal="left" vertical="center"/>
    </xf>
    <xf borderId="2" fillId="15" fontId="9" numFmtId="0" xfId="0" applyAlignment="1" applyBorder="1" applyFill="1" applyFont="1">
      <alignment horizontal="left" shrinkToFit="0" vertical="center" wrapText="1"/>
    </xf>
    <xf borderId="2" fillId="0" fontId="9" numFmtId="166" xfId="0" applyAlignment="1" applyBorder="1" applyFont="1" applyNumberFormat="1">
      <alignment horizontal="center" readingOrder="0" vertical="center"/>
    </xf>
    <xf borderId="2" fillId="15" fontId="9" numFmtId="166" xfId="0" applyAlignment="1" applyBorder="1" applyFill="1" applyFont="1" applyNumberFormat="1">
      <alignment horizontal="center" readingOrder="0" vertical="center"/>
    </xf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left" vertical="center"/>
    </xf>
    <xf borderId="2" fillId="7" fontId="8" numFmtId="0" xfId="0" applyAlignment="1" applyBorder="1" applyFill="1" applyFont="1">
      <alignment horizontal="center" vertical="center"/>
    </xf>
    <xf borderId="2" fillId="6" fontId="8" numFmtId="0" xfId="0" applyAlignment="1" applyBorder="1" applyFill="1" applyFont="1">
      <alignment horizontal="center" vertical="center"/>
    </xf>
    <xf borderId="2" fillId="15" fontId="9" numFmtId="0" xfId="0" applyAlignment="1" applyBorder="1" applyFill="1" applyFont="1">
      <alignment horizontal="center" vertical="center"/>
    </xf>
    <xf borderId="0" fillId="14" fontId="14" numFmtId="0" xfId="0" applyFill="1" applyFont="1"/>
  </cellXfs>
  <cellStyles count="1">
    <cellStyle xfId="0" name="Normal" builtinId="0"/>
  </cellStyles>
  <dxfs count="4">
    <dxf>
      <font/>
      <fill>
        <patternFill patternType="solid">
          <fgColor rgb="FF4985E8"/>
          <bgColor rgb="FF4985E8"/>
        </patternFill>
      </fill>
      <border/>
    </dxf>
    <dxf>
      <font/>
      <fill>
        <patternFill patternType="solid">
          <fgColor rgb="FF69A84F"/>
          <bgColor rgb="FF69A84F"/>
        </patternFill>
      </fill>
      <border/>
    </dxf>
    <dxf>
      <font/>
      <fill>
        <patternFill patternType="solid">
          <fgColor rgb="FFF6B16B"/>
          <bgColor rgb="FFF6B16B"/>
        </patternFill>
      </fill>
      <border/>
    </dxf>
    <dxf>
      <font/>
      <fill>
        <patternFill patternType="solid">
          <fgColor rgb="FFDF6666"/>
          <bgColor rgb="FFDF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71"/>
    <col customWidth="1" min="2" max="2" width="12.0"/>
    <col customWidth="1" min="3" max="3" width="18.0"/>
    <col customWidth="1" min="4" max="4" width="24.0"/>
    <col customWidth="1" min="5" max="5" width="46.0"/>
    <col customWidth="1" min="6" max="7" width="13.0"/>
    <col customWidth="1" min="8" max="9" width="11.0"/>
    <col customWidth="1" min="10" max="10" width="24.0"/>
    <col customWidth="1" min="11" max="48" width="3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30.0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15.0" customHeight="1">
      <c r="A4" s="1"/>
      <c r="B4" s="4" t="s">
        <v>2</v>
      </c>
      <c r="C4" s="4" t="s">
        <v>3</v>
      </c>
      <c r="D4" s="4" t="s">
        <v>4</v>
      </c>
      <c r="E4" s="1"/>
      <c r="F4" s="5" t="s">
        <v>6</v>
      </c>
      <c r="G4" s="7" t="s">
        <v>7</v>
      </c>
      <c r="H4" s="9" t="s">
        <v>9</v>
      </c>
      <c r="I4" s="10" t="s">
        <v>12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1.75" customHeight="1">
      <c r="A5" s="1"/>
      <c r="B5" s="13">
        <f>COUNTA(C7:C65)</f>
        <v>59</v>
      </c>
      <c r="C5" s="13">
        <f>COUNTIF(I7:I65,"완료")</f>
        <v>59</v>
      </c>
      <c r="D5" s="15">
        <f>IF(B5=0,0,C5/B5)</f>
        <v>1</v>
      </c>
      <c r="E5" s="1"/>
      <c r="F5" s="16"/>
      <c r="G5" s="17"/>
      <c r="H5" s="18"/>
      <c r="I5" s="1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24.0" customHeight="1">
      <c r="A6" s="1"/>
      <c r="B6" s="20" t="s">
        <v>17</v>
      </c>
      <c r="C6" s="20" t="s">
        <v>18</v>
      </c>
      <c r="D6" s="20" t="s">
        <v>19</v>
      </c>
      <c r="E6" s="20" t="s">
        <v>20</v>
      </c>
      <c r="F6" s="20" t="s">
        <v>21</v>
      </c>
      <c r="G6" s="20" t="s">
        <v>22</v>
      </c>
      <c r="H6" s="20" t="s">
        <v>5</v>
      </c>
      <c r="I6" s="20" t="s">
        <v>23</v>
      </c>
      <c r="J6" s="20" t="s">
        <v>24</v>
      </c>
      <c r="K6" s="23">
        <f>DATE(2026,8,4)</f>
        <v>46238</v>
      </c>
      <c r="L6" s="23">
        <f t="shared" ref="L6:AV6" si="1">K6+1</f>
        <v>46239</v>
      </c>
      <c r="M6" s="23">
        <f t="shared" si="1"/>
        <v>46240</v>
      </c>
      <c r="N6" s="23">
        <f t="shared" si="1"/>
        <v>46241</v>
      </c>
      <c r="O6" s="23">
        <f t="shared" si="1"/>
        <v>46242</v>
      </c>
      <c r="P6" s="24">
        <f t="shared" si="1"/>
        <v>46243</v>
      </c>
      <c r="Q6" s="24">
        <f t="shared" si="1"/>
        <v>46244</v>
      </c>
      <c r="R6" s="23">
        <f t="shared" si="1"/>
        <v>46245</v>
      </c>
      <c r="S6" s="23">
        <f t="shared" si="1"/>
        <v>46246</v>
      </c>
      <c r="T6" s="23">
        <f t="shared" si="1"/>
        <v>46247</v>
      </c>
      <c r="U6" s="23">
        <f t="shared" si="1"/>
        <v>46248</v>
      </c>
      <c r="V6" s="23">
        <f t="shared" si="1"/>
        <v>46249</v>
      </c>
      <c r="W6" s="24">
        <f t="shared" si="1"/>
        <v>46250</v>
      </c>
      <c r="X6" s="24">
        <f t="shared" si="1"/>
        <v>46251</v>
      </c>
      <c r="Y6" s="23">
        <f t="shared" si="1"/>
        <v>46252</v>
      </c>
      <c r="Z6" s="23">
        <f t="shared" si="1"/>
        <v>46253</v>
      </c>
      <c r="AA6" s="23">
        <f t="shared" si="1"/>
        <v>46254</v>
      </c>
      <c r="AB6" s="23">
        <f t="shared" si="1"/>
        <v>46255</v>
      </c>
      <c r="AC6" s="23">
        <f t="shared" si="1"/>
        <v>46256</v>
      </c>
      <c r="AD6" s="24">
        <f t="shared" si="1"/>
        <v>46257</v>
      </c>
      <c r="AE6" s="24">
        <f t="shared" si="1"/>
        <v>46258</v>
      </c>
      <c r="AF6" s="23">
        <f t="shared" si="1"/>
        <v>46259</v>
      </c>
      <c r="AG6" s="23">
        <f t="shared" si="1"/>
        <v>46260</v>
      </c>
      <c r="AH6" s="23">
        <f t="shared" si="1"/>
        <v>46261</v>
      </c>
      <c r="AI6" s="23">
        <f t="shared" si="1"/>
        <v>46262</v>
      </c>
      <c r="AJ6" s="23">
        <f t="shared" si="1"/>
        <v>46263</v>
      </c>
      <c r="AK6" s="24">
        <f t="shared" si="1"/>
        <v>46264</v>
      </c>
      <c r="AL6" s="24">
        <f t="shared" si="1"/>
        <v>46265</v>
      </c>
      <c r="AM6" s="23">
        <f t="shared" si="1"/>
        <v>46266</v>
      </c>
      <c r="AN6" s="23">
        <f t="shared" si="1"/>
        <v>46267</v>
      </c>
      <c r="AO6" s="23">
        <f t="shared" si="1"/>
        <v>46268</v>
      </c>
      <c r="AP6" s="23">
        <f t="shared" si="1"/>
        <v>46269</v>
      </c>
      <c r="AQ6" s="23">
        <f t="shared" si="1"/>
        <v>46270</v>
      </c>
      <c r="AR6" s="24">
        <f t="shared" si="1"/>
        <v>46271</v>
      </c>
      <c r="AS6" s="24">
        <f t="shared" si="1"/>
        <v>46272</v>
      </c>
      <c r="AT6" s="23">
        <f t="shared" si="1"/>
        <v>46273</v>
      </c>
      <c r="AU6" s="23">
        <f t="shared" si="1"/>
        <v>46274</v>
      </c>
      <c r="AV6" s="23">
        <f t="shared" si="1"/>
        <v>46275</v>
      </c>
    </row>
    <row r="7" ht="30.0" customHeight="1">
      <c r="A7" s="1"/>
      <c r="B7" s="27" t="s">
        <v>28</v>
      </c>
      <c r="C7" s="28" t="s">
        <v>29</v>
      </c>
      <c r="D7" s="28" t="s">
        <v>30</v>
      </c>
      <c r="E7" s="29" t="s">
        <v>31</v>
      </c>
      <c r="F7" s="30">
        <v>46238.0</v>
      </c>
      <c r="G7" s="30">
        <v>46239.0</v>
      </c>
      <c r="H7" s="31" t="s">
        <v>6</v>
      </c>
      <c r="I7" s="33" t="s">
        <v>11</v>
      </c>
      <c r="J7" s="28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</row>
    <row r="8" ht="30.0" customHeight="1">
      <c r="A8" s="1"/>
      <c r="B8" s="38" t="s">
        <v>34</v>
      </c>
      <c r="C8" s="39" t="s">
        <v>35</v>
      </c>
      <c r="D8" s="39" t="s">
        <v>36</v>
      </c>
      <c r="E8" s="40" t="s">
        <v>37</v>
      </c>
      <c r="F8" s="41">
        <v>46238.0</v>
      </c>
      <c r="G8" s="41">
        <v>46239.0</v>
      </c>
      <c r="H8" s="31" t="s">
        <v>6</v>
      </c>
      <c r="I8" s="33" t="s">
        <v>11</v>
      </c>
      <c r="J8" s="39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</row>
    <row r="9" ht="30.0" customHeight="1">
      <c r="A9" s="1"/>
      <c r="B9" s="27" t="s">
        <v>38</v>
      </c>
      <c r="C9" s="28" t="s">
        <v>39</v>
      </c>
      <c r="D9" s="28" t="s">
        <v>40</v>
      </c>
      <c r="E9" s="42" t="s">
        <v>41</v>
      </c>
      <c r="F9" s="30">
        <v>46238.0</v>
      </c>
      <c r="G9" s="30">
        <v>46240.0</v>
      </c>
      <c r="H9" s="33" t="s">
        <v>7</v>
      </c>
      <c r="I9" s="33" t="s">
        <v>11</v>
      </c>
      <c r="J9" s="28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</row>
    <row r="10" ht="30.0" customHeight="1">
      <c r="A10" s="1"/>
      <c r="B10" s="38" t="s">
        <v>34</v>
      </c>
      <c r="C10" s="39" t="s">
        <v>35</v>
      </c>
      <c r="D10" s="43" t="s">
        <v>42</v>
      </c>
      <c r="E10" s="44" t="s">
        <v>43</v>
      </c>
      <c r="F10" s="41">
        <v>46239.0</v>
      </c>
      <c r="G10" s="41">
        <v>46240.0</v>
      </c>
      <c r="H10" s="31" t="s">
        <v>6</v>
      </c>
      <c r="I10" s="33" t="s">
        <v>11</v>
      </c>
      <c r="J10" s="39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</row>
    <row r="11" ht="30.0" customHeight="1">
      <c r="A11" s="1"/>
      <c r="B11" s="27" t="s">
        <v>44</v>
      </c>
      <c r="C11" s="28" t="s">
        <v>45</v>
      </c>
      <c r="D11" s="28" t="s">
        <v>46</v>
      </c>
      <c r="E11" s="29" t="s">
        <v>47</v>
      </c>
      <c r="F11" s="45">
        <v>46238.0</v>
      </c>
      <c r="G11" s="30">
        <v>46239.0</v>
      </c>
      <c r="H11" s="31" t="s">
        <v>6</v>
      </c>
      <c r="I11" s="33" t="s">
        <v>11</v>
      </c>
      <c r="J11" s="28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</row>
    <row r="12" ht="30.0" customHeight="1">
      <c r="A12" s="1"/>
      <c r="B12" s="38" t="s">
        <v>48</v>
      </c>
      <c r="C12" s="39" t="s">
        <v>49</v>
      </c>
      <c r="D12" s="39" t="s">
        <v>50</v>
      </c>
      <c r="E12" s="40" t="s">
        <v>51</v>
      </c>
      <c r="F12" s="46">
        <v>46238.0</v>
      </c>
      <c r="G12" s="41">
        <v>46239.0</v>
      </c>
      <c r="H12" s="31" t="s">
        <v>6</v>
      </c>
      <c r="I12" s="33" t="s">
        <v>11</v>
      </c>
      <c r="J12" s="39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</row>
    <row r="13" ht="30.0" customHeight="1">
      <c r="A13" s="1"/>
      <c r="B13" s="27" t="s">
        <v>48</v>
      </c>
      <c r="C13" s="28" t="s">
        <v>52</v>
      </c>
      <c r="D13" s="28" t="s">
        <v>53</v>
      </c>
      <c r="E13" s="42" t="s">
        <v>54</v>
      </c>
      <c r="F13" s="30">
        <v>46239.0</v>
      </c>
      <c r="G13" s="45">
        <v>46240.0</v>
      </c>
      <c r="H13" s="31" t="s">
        <v>6</v>
      </c>
      <c r="I13" s="33" t="s">
        <v>11</v>
      </c>
      <c r="J13" s="28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</row>
    <row r="14" ht="30.0" customHeight="1">
      <c r="A14" s="1"/>
      <c r="B14" s="38" t="s">
        <v>48</v>
      </c>
      <c r="C14" s="39" t="s">
        <v>55</v>
      </c>
      <c r="D14" s="39" t="s">
        <v>56</v>
      </c>
      <c r="E14" s="44" t="s">
        <v>57</v>
      </c>
      <c r="F14" s="41">
        <v>46239.0</v>
      </c>
      <c r="G14" s="41">
        <v>46240.0</v>
      </c>
      <c r="H14" s="31" t="s">
        <v>6</v>
      </c>
      <c r="I14" s="33" t="s">
        <v>11</v>
      </c>
      <c r="J14" s="39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</row>
    <row r="15" ht="30.0" customHeight="1">
      <c r="A15" s="1"/>
      <c r="B15" s="47" t="s">
        <v>58</v>
      </c>
      <c r="C15" s="28" t="s">
        <v>59</v>
      </c>
      <c r="D15" s="48" t="s">
        <v>60</v>
      </c>
      <c r="E15" s="42" t="s">
        <v>61</v>
      </c>
      <c r="F15" s="30">
        <v>46239.0</v>
      </c>
      <c r="G15" s="30">
        <v>46240.0</v>
      </c>
      <c r="H15" s="49" t="s">
        <v>12</v>
      </c>
      <c r="I15" s="33" t="s">
        <v>11</v>
      </c>
      <c r="J15" s="28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</row>
    <row r="16" ht="30.0" customHeight="1">
      <c r="A16" s="1"/>
      <c r="B16" s="38" t="s">
        <v>62</v>
      </c>
      <c r="C16" s="39" t="s">
        <v>63</v>
      </c>
      <c r="D16" s="39" t="s">
        <v>64</v>
      </c>
      <c r="E16" s="40" t="s">
        <v>65</v>
      </c>
      <c r="F16" s="46">
        <v>46238.0</v>
      </c>
      <c r="G16" s="41">
        <v>46240.0</v>
      </c>
      <c r="H16" s="50" t="s">
        <v>9</v>
      </c>
      <c r="I16" s="33" t="s">
        <v>11</v>
      </c>
      <c r="J16" s="39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</row>
    <row r="17" ht="30.0" customHeight="1">
      <c r="A17" s="1"/>
      <c r="B17" s="27" t="s">
        <v>28</v>
      </c>
      <c r="C17" s="28" t="s">
        <v>66</v>
      </c>
      <c r="D17" s="28" t="s">
        <v>67</v>
      </c>
      <c r="E17" s="42" t="s">
        <v>68</v>
      </c>
      <c r="F17" s="45">
        <v>46239.0</v>
      </c>
      <c r="G17" s="30">
        <v>46240.0</v>
      </c>
      <c r="H17" s="31" t="s">
        <v>6</v>
      </c>
      <c r="I17" s="33" t="s">
        <v>11</v>
      </c>
      <c r="J17" s="28" t="s">
        <v>69</v>
      </c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</row>
    <row r="18" ht="30.0" customHeight="1">
      <c r="A18" s="1"/>
      <c r="B18" s="38" t="s">
        <v>44</v>
      </c>
      <c r="C18" s="39" t="s">
        <v>70</v>
      </c>
      <c r="D18" s="43" t="s">
        <v>71</v>
      </c>
      <c r="E18" s="40" t="s">
        <v>72</v>
      </c>
      <c r="F18" s="46">
        <v>46239.0</v>
      </c>
      <c r="G18" s="41">
        <v>46240.0</v>
      </c>
      <c r="H18" s="31" t="s">
        <v>6</v>
      </c>
      <c r="I18" s="33" t="s">
        <v>11</v>
      </c>
      <c r="J18" s="39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</row>
    <row r="19" ht="30.0" customHeight="1">
      <c r="A19" s="1"/>
      <c r="B19" s="27" t="s">
        <v>62</v>
      </c>
      <c r="C19" s="28" t="s">
        <v>73</v>
      </c>
      <c r="D19" s="28" t="s">
        <v>74</v>
      </c>
      <c r="E19" s="42" t="s">
        <v>75</v>
      </c>
      <c r="F19" s="45">
        <v>46238.0</v>
      </c>
      <c r="G19" s="30">
        <v>46240.0</v>
      </c>
      <c r="H19" s="50" t="s">
        <v>9</v>
      </c>
      <c r="I19" s="33" t="s">
        <v>11</v>
      </c>
      <c r="J19" s="28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</row>
    <row r="20" ht="30.0" customHeight="1">
      <c r="A20" s="1"/>
      <c r="B20" s="38" t="s">
        <v>62</v>
      </c>
      <c r="C20" s="39" t="s">
        <v>76</v>
      </c>
      <c r="D20" s="39" t="s">
        <v>77</v>
      </c>
      <c r="E20" s="44" t="s">
        <v>78</v>
      </c>
      <c r="F20" s="41">
        <v>46240.0</v>
      </c>
      <c r="G20" s="41">
        <v>46241.0</v>
      </c>
      <c r="H20" s="50" t="s">
        <v>9</v>
      </c>
      <c r="I20" s="33" t="s">
        <v>11</v>
      </c>
      <c r="J20" s="39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</row>
    <row r="21" ht="30.0" customHeight="1">
      <c r="A21" s="1"/>
      <c r="B21" s="27" t="s">
        <v>62</v>
      </c>
      <c r="C21" s="28" t="s">
        <v>79</v>
      </c>
      <c r="D21" s="48" t="s">
        <v>80</v>
      </c>
      <c r="E21" s="29" t="s">
        <v>81</v>
      </c>
      <c r="F21" s="30">
        <v>46240.0</v>
      </c>
      <c r="G21" s="30">
        <v>46241.0</v>
      </c>
      <c r="H21" s="50" t="s">
        <v>9</v>
      </c>
      <c r="I21" s="33" t="s">
        <v>11</v>
      </c>
      <c r="J21" s="28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</row>
    <row r="22" ht="30.0" customHeight="1">
      <c r="A22" s="1"/>
      <c r="B22" s="51" t="s">
        <v>58</v>
      </c>
      <c r="C22" s="39" t="s">
        <v>82</v>
      </c>
      <c r="D22" s="39" t="s">
        <v>83</v>
      </c>
      <c r="E22" s="40" t="s">
        <v>84</v>
      </c>
      <c r="F22" s="41">
        <v>46240.0</v>
      </c>
      <c r="G22" s="41">
        <v>46240.0</v>
      </c>
      <c r="H22" s="49" t="s">
        <v>12</v>
      </c>
      <c r="I22" s="33" t="s">
        <v>11</v>
      </c>
      <c r="J22" s="39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</row>
    <row r="23" ht="30.0" customHeight="1">
      <c r="A23" s="1"/>
      <c r="B23" s="27" t="s">
        <v>38</v>
      </c>
      <c r="C23" s="28" t="s">
        <v>39</v>
      </c>
      <c r="D23" s="48" t="s">
        <v>85</v>
      </c>
      <c r="E23" s="42" t="s">
        <v>86</v>
      </c>
      <c r="F23" s="30">
        <v>46240.0</v>
      </c>
      <c r="G23" s="30">
        <v>46241.0</v>
      </c>
      <c r="H23" s="33" t="s">
        <v>7</v>
      </c>
      <c r="I23" s="33" t="s">
        <v>11</v>
      </c>
      <c r="J23" s="28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</row>
    <row r="24" ht="30.0" customHeight="1">
      <c r="A24" s="1"/>
      <c r="B24" s="38" t="s">
        <v>38</v>
      </c>
      <c r="C24" s="39" t="s">
        <v>87</v>
      </c>
      <c r="D24" s="39" t="s">
        <v>88</v>
      </c>
      <c r="E24" s="40" t="s">
        <v>89</v>
      </c>
      <c r="F24" s="41">
        <v>46241.0</v>
      </c>
      <c r="G24" s="41">
        <v>46244.0</v>
      </c>
      <c r="H24" s="33" t="s">
        <v>7</v>
      </c>
      <c r="I24" s="33" t="s">
        <v>11</v>
      </c>
      <c r="J24" s="39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</row>
    <row r="25" ht="30.0" customHeight="1">
      <c r="A25" s="1"/>
      <c r="B25" s="27" t="s">
        <v>34</v>
      </c>
      <c r="C25" s="28" t="s">
        <v>90</v>
      </c>
      <c r="D25" s="28" t="s">
        <v>91</v>
      </c>
      <c r="E25" s="42" t="s">
        <v>92</v>
      </c>
      <c r="F25" s="45">
        <v>46241.0</v>
      </c>
      <c r="G25" s="30">
        <v>46244.0</v>
      </c>
      <c r="H25" s="31" t="s">
        <v>6</v>
      </c>
      <c r="I25" s="33" t="s">
        <v>11</v>
      </c>
      <c r="J25" s="28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</row>
    <row r="26" ht="30.0" customHeight="1">
      <c r="A26" s="1"/>
      <c r="B26" s="38" t="s">
        <v>34</v>
      </c>
      <c r="C26" s="39" t="s">
        <v>93</v>
      </c>
      <c r="D26" s="39" t="s">
        <v>94</v>
      </c>
      <c r="E26" s="40" t="s">
        <v>95</v>
      </c>
      <c r="F26" s="41">
        <v>46244.0</v>
      </c>
      <c r="G26" s="46">
        <v>46245.0</v>
      </c>
      <c r="H26" s="31" t="s">
        <v>6</v>
      </c>
      <c r="I26" s="33" t="s">
        <v>11</v>
      </c>
      <c r="J26" s="39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</row>
    <row r="27" ht="30.0" customHeight="1">
      <c r="A27" s="1"/>
      <c r="B27" s="27" t="s">
        <v>44</v>
      </c>
      <c r="C27" s="28" t="s">
        <v>96</v>
      </c>
      <c r="D27" s="28" t="s">
        <v>97</v>
      </c>
      <c r="E27" s="42" t="s">
        <v>98</v>
      </c>
      <c r="F27" s="30">
        <v>46244.0</v>
      </c>
      <c r="G27" s="45">
        <v>46245.0</v>
      </c>
      <c r="H27" s="31" t="s">
        <v>6</v>
      </c>
      <c r="I27" s="33" t="s">
        <v>11</v>
      </c>
      <c r="J27" s="28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</row>
    <row r="28" ht="30.0" customHeight="1">
      <c r="A28" s="1"/>
      <c r="B28" s="38" t="s">
        <v>48</v>
      </c>
      <c r="C28" s="39" t="s">
        <v>99</v>
      </c>
      <c r="D28" s="39" t="s">
        <v>100</v>
      </c>
      <c r="E28" s="40" t="s">
        <v>101</v>
      </c>
      <c r="F28" s="41">
        <v>46244.0</v>
      </c>
      <c r="G28" s="46">
        <v>46245.0</v>
      </c>
      <c r="H28" s="31" t="s">
        <v>6</v>
      </c>
      <c r="I28" s="33" t="s">
        <v>11</v>
      </c>
      <c r="J28" s="39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</row>
    <row r="29" ht="30.0" customHeight="1">
      <c r="A29" s="1"/>
      <c r="B29" s="27" t="s">
        <v>38</v>
      </c>
      <c r="C29" s="28" t="s">
        <v>102</v>
      </c>
      <c r="D29" s="28" t="s">
        <v>103</v>
      </c>
      <c r="E29" s="29" t="s">
        <v>104</v>
      </c>
      <c r="F29" s="30">
        <v>46244.0</v>
      </c>
      <c r="G29" s="30">
        <v>46247.0</v>
      </c>
      <c r="H29" s="33" t="s">
        <v>7</v>
      </c>
      <c r="I29" s="33" t="s">
        <v>11</v>
      </c>
      <c r="J29" s="28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</row>
    <row r="30" ht="30.0" customHeight="1">
      <c r="A30" s="1"/>
      <c r="B30" s="38" t="s">
        <v>58</v>
      </c>
      <c r="C30" s="39" t="s">
        <v>105</v>
      </c>
      <c r="D30" s="39" t="s">
        <v>106</v>
      </c>
      <c r="E30" s="40" t="s">
        <v>107</v>
      </c>
      <c r="F30" s="41">
        <v>46244.0</v>
      </c>
      <c r="G30" s="41">
        <v>46246.0</v>
      </c>
      <c r="H30" s="49" t="s">
        <v>12</v>
      </c>
      <c r="I30" s="33" t="s">
        <v>11</v>
      </c>
      <c r="J30" s="39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</row>
    <row r="31" ht="30.0" customHeight="1">
      <c r="A31" s="1"/>
      <c r="B31" s="27" t="s">
        <v>34</v>
      </c>
      <c r="C31" s="28" t="s">
        <v>108</v>
      </c>
      <c r="D31" s="28" t="s">
        <v>109</v>
      </c>
      <c r="E31" s="42" t="s">
        <v>110</v>
      </c>
      <c r="F31" s="45">
        <v>46244.0</v>
      </c>
      <c r="G31" s="30">
        <v>46245.0</v>
      </c>
      <c r="H31" s="31" t="s">
        <v>6</v>
      </c>
      <c r="I31" s="33" t="s">
        <v>11</v>
      </c>
      <c r="J31" s="28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</row>
    <row r="32" ht="30.0" customHeight="1">
      <c r="A32" s="1"/>
      <c r="B32" s="38" t="s">
        <v>34</v>
      </c>
      <c r="C32" s="39" t="s">
        <v>111</v>
      </c>
      <c r="D32" s="39" t="s">
        <v>112</v>
      </c>
      <c r="E32" s="44" t="s">
        <v>113</v>
      </c>
      <c r="F32" s="41">
        <v>46245.0</v>
      </c>
      <c r="G32" s="46">
        <v>46246.0</v>
      </c>
      <c r="H32" s="31" t="s">
        <v>6</v>
      </c>
      <c r="I32" s="33" t="s">
        <v>11</v>
      </c>
      <c r="J32" s="39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</row>
    <row r="33" ht="30.0" customHeight="1">
      <c r="A33" s="1"/>
      <c r="B33" s="27" t="s">
        <v>48</v>
      </c>
      <c r="C33" s="28" t="s">
        <v>114</v>
      </c>
      <c r="D33" s="48" t="s">
        <v>115</v>
      </c>
      <c r="E33" s="42" t="s">
        <v>116</v>
      </c>
      <c r="F33" s="30">
        <v>46245.0</v>
      </c>
      <c r="G33" s="30">
        <v>46245.0</v>
      </c>
      <c r="H33" s="31" t="s">
        <v>6</v>
      </c>
      <c r="I33" s="33" t="s">
        <v>11</v>
      </c>
      <c r="J33" s="28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</row>
    <row r="34" ht="30.0" customHeight="1">
      <c r="A34" s="1"/>
      <c r="B34" s="38" t="s">
        <v>48</v>
      </c>
      <c r="C34" s="39" t="s">
        <v>117</v>
      </c>
      <c r="D34" s="39" t="s">
        <v>118</v>
      </c>
      <c r="E34" s="40" t="s">
        <v>119</v>
      </c>
      <c r="F34" s="41">
        <v>46245.0</v>
      </c>
      <c r="G34" s="46">
        <v>46246.0</v>
      </c>
      <c r="H34" s="31" t="s">
        <v>6</v>
      </c>
      <c r="I34" s="33" t="s">
        <v>11</v>
      </c>
      <c r="J34" s="39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</row>
    <row r="35" ht="30.0" customHeight="1">
      <c r="A35" s="1"/>
      <c r="B35" s="27" t="s">
        <v>48</v>
      </c>
      <c r="C35" s="28" t="s">
        <v>120</v>
      </c>
      <c r="D35" s="28" t="s">
        <v>121</v>
      </c>
      <c r="E35" s="42" t="s">
        <v>122</v>
      </c>
      <c r="F35" s="30">
        <v>46245.0</v>
      </c>
      <c r="G35" s="45">
        <v>46246.0</v>
      </c>
      <c r="H35" s="31" t="s">
        <v>6</v>
      </c>
      <c r="I35" s="33" t="s">
        <v>11</v>
      </c>
      <c r="J35" s="28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</row>
    <row r="36" ht="30.0" customHeight="1">
      <c r="A36" s="1"/>
      <c r="B36" s="38" t="s">
        <v>123</v>
      </c>
      <c r="C36" s="39" t="s">
        <v>124</v>
      </c>
      <c r="D36" s="39" t="s">
        <v>125</v>
      </c>
      <c r="E36" s="40" t="s">
        <v>126</v>
      </c>
      <c r="F36" s="46">
        <v>46244.0</v>
      </c>
      <c r="G36" s="41">
        <v>46245.0</v>
      </c>
      <c r="H36" s="31" t="s">
        <v>6</v>
      </c>
      <c r="I36" s="33" t="s">
        <v>11</v>
      </c>
      <c r="J36" s="39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</row>
    <row r="37" ht="30.0" customHeight="1">
      <c r="A37" s="1"/>
      <c r="B37" s="27" t="s">
        <v>123</v>
      </c>
      <c r="C37" s="28" t="s">
        <v>127</v>
      </c>
      <c r="D37" s="28" t="s">
        <v>128</v>
      </c>
      <c r="E37" s="42" t="s">
        <v>129</v>
      </c>
      <c r="F37" s="30">
        <v>46245.0</v>
      </c>
      <c r="G37" s="30">
        <v>46246.0</v>
      </c>
      <c r="H37" s="31" t="s">
        <v>6</v>
      </c>
      <c r="I37" s="33" t="s">
        <v>11</v>
      </c>
      <c r="J37" s="28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</row>
    <row r="38" ht="30.0" customHeight="1">
      <c r="A38" s="1"/>
      <c r="B38" s="38" t="s">
        <v>28</v>
      </c>
      <c r="C38" s="39" t="s">
        <v>130</v>
      </c>
      <c r="D38" s="39" t="s">
        <v>131</v>
      </c>
      <c r="E38" s="40" t="s">
        <v>132</v>
      </c>
      <c r="F38" s="41">
        <v>46240.0</v>
      </c>
      <c r="G38" s="41">
        <v>46261.0</v>
      </c>
      <c r="H38" s="31" t="s">
        <v>6</v>
      </c>
      <c r="I38" s="33" t="s">
        <v>11</v>
      </c>
      <c r="J38" s="39" t="s">
        <v>133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</row>
    <row r="39" ht="30.0" customHeight="1">
      <c r="A39" s="1"/>
      <c r="B39" s="27" t="s">
        <v>34</v>
      </c>
      <c r="C39" s="28" t="s">
        <v>134</v>
      </c>
      <c r="D39" s="28" t="s">
        <v>135</v>
      </c>
      <c r="E39" s="42" t="s">
        <v>136</v>
      </c>
      <c r="F39" s="30">
        <v>46246.0</v>
      </c>
      <c r="G39" s="30">
        <v>46247.0</v>
      </c>
      <c r="H39" s="31" t="s">
        <v>6</v>
      </c>
      <c r="I39" s="33" t="s">
        <v>11</v>
      </c>
      <c r="J39" s="28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</row>
    <row r="40" ht="30.0" customHeight="1">
      <c r="A40" s="1"/>
      <c r="B40" s="38" t="s">
        <v>137</v>
      </c>
      <c r="C40" s="39" t="s">
        <v>138</v>
      </c>
      <c r="D40" s="39" t="s">
        <v>139</v>
      </c>
      <c r="E40" s="40" t="s">
        <v>140</v>
      </c>
      <c r="F40" s="41">
        <v>46246.0</v>
      </c>
      <c r="G40" s="46">
        <v>46248.0</v>
      </c>
      <c r="H40" s="50" t="s">
        <v>9</v>
      </c>
      <c r="I40" s="33" t="s">
        <v>11</v>
      </c>
      <c r="J40" s="3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</row>
    <row r="41" ht="30.0" customHeight="1">
      <c r="A41" s="1"/>
      <c r="B41" s="27" t="s">
        <v>141</v>
      </c>
      <c r="C41" s="28" t="s">
        <v>142</v>
      </c>
      <c r="D41" s="28" t="s">
        <v>143</v>
      </c>
      <c r="E41" s="42" t="s">
        <v>144</v>
      </c>
      <c r="F41" s="30">
        <v>46246.0</v>
      </c>
      <c r="G41" s="30">
        <v>46246.0</v>
      </c>
      <c r="H41" s="49" t="s">
        <v>12</v>
      </c>
      <c r="I41" s="33" t="s">
        <v>11</v>
      </c>
      <c r="J41" s="28"/>
      <c r="K41" s="35"/>
      <c r="L41" s="35"/>
      <c r="M41" s="35"/>
      <c r="N41" s="35"/>
      <c r="O41" s="35"/>
      <c r="P41" s="35"/>
      <c r="Q41" s="35"/>
      <c r="R41" s="35"/>
      <c r="S41" s="52"/>
      <c r="T41" s="52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</row>
    <row r="42" ht="30.0" customHeight="1">
      <c r="A42" s="1"/>
      <c r="B42" s="38" t="s">
        <v>123</v>
      </c>
      <c r="C42" s="39" t="s">
        <v>145</v>
      </c>
      <c r="D42" s="43" t="s">
        <v>146</v>
      </c>
      <c r="E42" s="40" t="s">
        <v>147</v>
      </c>
      <c r="F42" s="41">
        <v>46246.0</v>
      </c>
      <c r="G42" s="41">
        <v>46248.0</v>
      </c>
      <c r="H42" s="33" t="s">
        <v>7</v>
      </c>
      <c r="I42" s="33" t="s">
        <v>11</v>
      </c>
      <c r="J42" s="39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</row>
    <row r="43" ht="30.0" customHeight="1">
      <c r="A43" s="1"/>
      <c r="B43" s="27" t="s">
        <v>34</v>
      </c>
      <c r="C43" s="28" t="s">
        <v>148</v>
      </c>
      <c r="D43" s="28" t="s">
        <v>149</v>
      </c>
      <c r="E43" s="42" t="s">
        <v>150</v>
      </c>
      <c r="F43" s="45">
        <v>46246.0</v>
      </c>
      <c r="G43" s="30">
        <v>46247.0</v>
      </c>
      <c r="H43" s="31" t="s">
        <v>6</v>
      </c>
      <c r="I43" s="33" t="s">
        <v>11</v>
      </c>
      <c r="J43" s="28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</row>
    <row r="44" ht="30.0" customHeight="1">
      <c r="A44" s="1"/>
      <c r="B44" s="38" t="s">
        <v>48</v>
      </c>
      <c r="C44" s="39" t="s">
        <v>151</v>
      </c>
      <c r="D44" s="39" t="s">
        <v>152</v>
      </c>
      <c r="E44" s="44" t="s">
        <v>153</v>
      </c>
      <c r="F44" s="46">
        <v>46246.0</v>
      </c>
      <c r="G44" s="41">
        <v>46247.0</v>
      </c>
      <c r="H44" s="31" t="s">
        <v>6</v>
      </c>
      <c r="I44" s="33" t="s">
        <v>11</v>
      </c>
      <c r="J44" s="39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</row>
    <row r="45" ht="30.0" customHeight="1">
      <c r="A45" s="1"/>
      <c r="B45" s="27" t="s">
        <v>48</v>
      </c>
      <c r="C45" s="28" t="s">
        <v>154</v>
      </c>
      <c r="D45" s="28" t="s">
        <v>155</v>
      </c>
      <c r="E45" s="29" t="s">
        <v>156</v>
      </c>
      <c r="F45" s="45">
        <v>46246.0</v>
      </c>
      <c r="G45" s="30">
        <v>46247.0</v>
      </c>
      <c r="H45" s="31" t="s">
        <v>6</v>
      </c>
      <c r="I45" s="33" t="s">
        <v>11</v>
      </c>
      <c r="J45" s="28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</row>
    <row r="46" ht="30.0" customHeight="1">
      <c r="A46" s="1"/>
      <c r="B46" s="38" t="s">
        <v>28</v>
      </c>
      <c r="C46" s="39" t="s">
        <v>157</v>
      </c>
      <c r="D46" s="39" t="s">
        <v>158</v>
      </c>
      <c r="E46" s="44" t="s">
        <v>159</v>
      </c>
      <c r="F46" s="46">
        <v>46246.0</v>
      </c>
      <c r="G46" s="41">
        <v>46247.0</v>
      </c>
      <c r="H46" s="31" t="s">
        <v>6</v>
      </c>
      <c r="I46" s="33" t="s">
        <v>11</v>
      </c>
      <c r="J46" s="39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</row>
    <row r="47" ht="30.0" customHeight="1">
      <c r="A47" s="1"/>
      <c r="B47" s="27" t="s">
        <v>38</v>
      </c>
      <c r="C47" s="28" t="s">
        <v>160</v>
      </c>
      <c r="D47" s="28" t="s">
        <v>161</v>
      </c>
      <c r="E47" s="29" t="s">
        <v>162</v>
      </c>
      <c r="F47" s="30">
        <v>46247.0</v>
      </c>
      <c r="G47" s="30">
        <v>46247.0</v>
      </c>
      <c r="H47" s="33" t="s">
        <v>7</v>
      </c>
      <c r="I47" s="33" t="s">
        <v>11</v>
      </c>
      <c r="J47" s="28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</row>
    <row r="48" ht="30.0" customHeight="1">
      <c r="A48" s="1"/>
      <c r="B48" s="38" t="s">
        <v>62</v>
      </c>
      <c r="C48" s="39" t="s">
        <v>163</v>
      </c>
      <c r="D48" s="39" t="s">
        <v>164</v>
      </c>
      <c r="E48" s="40" t="s">
        <v>165</v>
      </c>
      <c r="F48" s="46">
        <v>46246.0</v>
      </c>
      <c r="G48" s="41">
        <v>46247.0</v>
      </c>
      <c r="H48" s="50" t="s">
        <v>9</v>
      </c>
      <c r="I48" s="33" t="s">
        <v>11</v>
      </c>
      <c r="J48" s="39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</row>
    <row r="49" ht="30.0" customHeight="1">
      <c r="A49" s="1"/>
      <c r="B49" s="27" t="s">
        <v>34</v>
      </c>
      <c r="C49" s="28" t="s">
        <v>166</v>
      </c>
      <c r="D49" s="28" t="s">
        <v>167</v>
      </c>
      <c r="E49" s="42" t="s">
        <v>168</v>
      </c>
      <c r="F49" s="30">
        <v>46247.0</v>
      </c>
      <c r="G49" s="30">
        <v>46258.0</v>
      </c>
      <c r="H49" s="31" t="s">
        <v>6</v>
      </c>
      <c r="I49" s="33" t="s">
        <v>11</v>
      </c>
      <c r="J49" s="28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</row>
    <row r="50" ht="30.0" customHeight="1">
      <c r="A50" s="1"/>
      <c r="B50" s="38" t="s">
        <v>123</v>
      </c>
      <c r="C50" s="39" t="s">
        <v>169</v>
      </c>
      <c r="D50" s="39" t="s">
        <v>170</v>
      </c>
      <c r="E50" s="40" t="s">
        <v>171</v>
      </c>
      <c r="F50" s="46">
        <v>46258.0</v>
      </c>
      <c r="G50" s="41">
        <v>46258.0</v>
      </c>
      <c r="H50" s="31" t="s">
        <v>6</v>
      </c>
      <c r="I50" s="33" t="s">
        <v>11</v>
      </c>
      <c r="J50" s="39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</row>
    <row r="51" ht="30.0" customHeight="1">
      <c r="A51" s="1"/>
      <c r="B51" s="27" t="s">
        <v>137</v>
      </c>
      <c r="C51" s="28" t="s">
        <v>172</v>
      </c>
      <c r="D51" s="28" t="s">
        <v>173</v>
      </c>
      <c r="E51" s="42" t="s">
        <v>174</v>
      </c>
      <c r="F51" s="46">
        <v>46248.0</v>
      </c>
      <c r="G51" s="45">
        <v>46249.0</v>
      </c>
      <c r="H51" s="50" t="s">
        <v>9</v>
      </c>
      <c r="I51" s="33" t="s">
        <v>11</v>
      </c>
      <c r="J51" s="28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</row>
    <row r="52" ht="30.0" customHeight="1">
      <c r="A52" s="1"/>
      <c r="B52" s="38" t="s">
        <v>137</v>
      </c>
      <c r="C52" s="39" t="s">
        <v>175</v>
      </c>
      <c r="D52" s="39" t="s">
        <v>176</v>
      </c>
      <c r="E52" s="40" t="s">
        <v>177</v>
      </c>
      <c r="F52" s="46">
        <v>46248.0</v>
      </c>
      <c r="G52" s="46">
        <v>46249.0</v>
      </c>
      <c r="H52" s="50" t="s">
        <v>9</v>
      </c>
      <c r="I52" s="33" t="s">
        <v>11</v>
      </c>
      <c r="J52" s="39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52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</row>
    <row r="53" ht="30.0" customHeight="1">
      <c r="A53" s="1"/>
      <c r="B53" s="27" t="s">
        <v>178</v>
      </c>
      <c r="C53" s="28" t="s">
        <v>179</v>
      </c>
      <c r="D53" s="28" t="s">
        <v>180</v>
      </c>
      <c r="E53" s="42" t="s">
        <v>181</v>
      </c>
      <c r="F53" s="46">
        <v>46248.0</v>
      </c>
      <c r="G53" s="30">
        <v>46258.0</v>
      </c>
      <c r="H53" s="50" t="s">
        <v>9</v>
      </c>
      <c r="I53" s="33" t="s">
        <v>11</v>
      </c>
      <c r="J53" s="28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</row>
    <row r="54" ht="30.0" customHeight="1">
      <c r="A54" s="1"/>
      <c r="B54" s="38" t="s">
        <v>62</v>
      </c>
      <c r="C54" s="39" t="s">
        <v>182</v>
      </c>
      <c r="D54" s="39" t="s">
        <v>183</v>
      </c>
      <c r="E54" s="40" t="s">
        <v>184</v>
      </c>
      <c r="F54" s="46">
        <v>46248.0</v>
      </c>
      <c r="G54" s="46">
        <v>46249.0</v>
      </c>
      <c r="H54" s="50" t="s">
        <v>9</v>
      </c>
      <c r="I54" s="33" t="s">
        <v>11</v>
      </c>
      <c r="J54" s="39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</row>
    <row r="55" ht="30.0" customHeight="1">
      <c r="A55" s="1"/>
      <c r="B55" s="27" t="s">
        <v>28</v>
      </c>
      <c r="C55" s="28" t="s">
        <v>185</v>
      </c>
      <c r="D55" s="28" t="s">
        <v>186</v>
      </c>
      <c r="E55" s="42" t="s">
        <v>187</v>
      </c>
      <c r="F55" s="30">
        <v>46258.0</v>
      </c>
      <c r="G55" s="30">
        <v>46259.0</v>
      </c>
      <c r="H55" s="31" t="s">
        <v>6</v>
      </c>
      <c r="I55" s="33" t="s">
        <v>11</v>
      </c>
      <c r="J55" s="28" t="s">
        <v>188</v>
      </c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</row>
    <row r="56" ht="30.0" customHeight="1">
      <c r="A56" s="1"/>
      <c r="B56" s="38" t="s">
        <v>28</v>
      </c>
      <c r="C56" s="39" t="s">
        <v>189</v>
      </c>
      <c r="D56" s="39" t="s">
        <v>190</v>
      </c>
      <c r="E56" s="40" t="s">
        <v>191</v>
      </c>
      <c r="F56" s="41">
        <v>46258.0</v>
      </c>
      <c r="G56" s="41">
        <v>46259.0</v>
      </c>
      <c r="H56" s="50" t="s">
        <v>9</v>
      </c>
      <c r="I56" s="33" t="s">
        <v>11</v>
      </c>
      <c r="J56" s="39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</row>
    <row r="57" ht="30.0" customHeight="1">
      <c r="A57" s="1"/>
      <c r="B57" s="27" t="s">
        <v>28</v>
      </c>
      <c r="C57" s="28" t="s">
        <v>192</v>
      </c>
      <c r="D57" s="28" t="s">
        <v>193</v>
      </c>
      <c r="E57" s="42" t="s">
        <v>194</v>
      </c>
      <c r="F57" s="30">
        <v>46259.0</v>
      </c>
      <c r="G57" s="30">
        <v>46259.0</v>
      </c>
      <c r="H57" s="33" t="s">
        <v>7</v>
      </c>
      <c r="I57" s="33" t="s">
        <v>11</v>
      </c>
      <c r="J57" s="28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</row>
    <row r="58" ht="30.0" customHeight="1">
      <c r="A58" s="1"/>
      <c r="B58" s="38" t="s">
        <v>58</v>
      </c>
      <c r="C58" s="39" t="s">
        <v>195</v>
      </c>
      <c r="D58" s="39" t="s">
        <v>196</v>
      </c>
      <c r="E58" s="44" t="s">
        <v>197</v>
      </c>
      <c r="F58" s="41">
        <v>46259.0</v>
      </c>
      <c r="G58" s="41">
        <v>46259.0</v>
      </c>
      <c r="H58" s="49" t="s">
        <v>12</v>
      </c>
      <c r="I58" s="33" t="s">
        <v>11</v>
      </c>
      <c r="J58" s="39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</row>
    <row r="59" ht="30.0" customHeight="1">
      <c r="A59" s="1"/>
      <c r="B59" s="47" t="s">
        <v>58</v>
      </c>
      <c r="C59" s="48" t="s">
        <v>198</v>
      </c>
      <c r="D59" s="28" t="s">
        <v>199</v>
      </c>
      <c r="E59" s="29" t="s">
        <v>200</v>
      </c>
      <c r="F59" s="30">
        <v>46259.0</v>
      </c>
      <c r="G59" s="30">
        <v>46259.0</v>
      </c>
      <c r="H59" s="49" t="s">
        <v>12</v>
      </c>
      <c r="I59" s="33" t="s">
        <v>11</v>
      </c>
      <c r="J59" s="28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</row>
    <row r="60" ht="30.0" customHeight="1">
      <c r="A60" s="1"/>
      <c r="B60" s="38" t="s">
        <v>123</v>
      </c>
      <c r="C60" s="39" t="s">
        <v>201</v>
      </c>
      <c r="D60" s="39" t="s">
        <v>202</v>
      </c>
      <c r="E60" s="40" t="s">
        <v>203</v>
      </c>
      <c r="F60" s="41">
        <v>46259.0</v>
      </c>
      <c r="G60" s="41">
        <v>46260.0</v>
      </c>
      <c r="H60" s="31" t="s">
        <v>6</v>
      </c>
      <c r="I60" s="33" t="s">
        <v>11</v>
      </c>
      <c r="J60" s="39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</row>
    <row r="61" ht="30.0" customHeight="1">
      <c r="A61" s="1"/>
      <c r="B61" s="27" t="s">
        <v>58</v>
      </c>
      <c r="C61" s="28" t="s">
        <v>204</v>
      </c>
      <c r="D61" s="28" t="s">
        <v>205</v>
      </c>
      <c r="E61" s="42" t="s">
        <v>206</v>
      </c>
      <c r="F61" s="30">
        <v>46259.0</v>
      </c>
      <c r="G61" s="30">
        <v>46260.0</v>
      </c>
      <c r="H61" s="49" t="s">
        <v>12</v>
      </c>
      <c r="I61" s="33" t="s">
        <v>11</v>
      </c>
      <c r="J61" s="28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</row>
    <row r="62" ht="30.0" customHeight="1">
      <c r="A62" s="1"/>
      <c r="B62" s="38" t="s">
        <v>141</v>
      </c>
      <c r="C62" s="43" t="s">
        <v>207</v>
      </c>
      <c r="D62" s="43" t="s">
        <v>208</v>
      </c>
      <c r="E62" s="44" t="s">
        <v>209</v>
      </c>
      <c r="F62" s="41">
        <v>46260.0</v>
      </c>
      <c r="G62" s="41">
        <v>46260.0</v>
      </c>
      <c r="H62" s="31" t="s">
        <v>6</v>
      </c>
      <c r="I62" s="33" t="s">
        <v>11</v>
      </c>
      <c r="J62" s="39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</row>
    <row r="63" ht="30.0" customHeight="1">
      <c r="A63" s="1"/>
      <c r="B63" s="27" t="s">
        <v>28</v>
      </c>
      <c r="C63" s="28" t="s">
        <v>210</v>
      </c>
      <c r="D63" s="28" t="s">
        <v>211</v>
      </c>
      <c r="E63" s="42" t="s">
        <v>212</v>
      </c>
      <c r="F63" s="45">
        <v>46259.0</v>
      </c>
      <c r="G63" s="30">
        <v>46260.0</v>
      </c>
      <c r="H63" s="50" t="s">
        <v>9</v>
      </c>
      <c r="I63" s="33" t="s">
        <v>11</v>
      </c>
      <c r="J63" s="28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</row>
    <row r="64" ht="30.0" customHeight="1">
      <c r="A64" s="1"/>
      <c r="B64" s="38" t="s">
        <v>44</v>
      </c>
      <c r="C64" s="39" t="s">
        <v>213</v>
      </c>
      <c r="D64" s="39" t="s">
        <v>214</v>
      </c>
      <c r="E64" s="40" t="s">
        <v>215</v>
      </c>
      <c r="F64" s="41">
        <v>46261.0</v>
      </c>
      <c r="G64" s="41">
        <v>46261.0</v>
      </c>
      <c r="H64" s="31" t="s">
        <v>6</v>
      </c>
      <c r="I64" s="33" t="s">
        <v>11</v>
      </c>
      <c r="J64" s="39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</row>
    <row r="65" ht="30.0" customHeight="1">
      <c r="A65" s="1"/>
      <c r="B65" s="27" t="s">
        <v>48</v>
      </c>
      <c r="C65" s="28" t="s">
        <v>216</v>
      </c>
      <c r="D65" s="28" t="s">
        <v>217</v>
      </c>
      <c r="E65" s="42" t="s">
        <v>218</v>
      </c>
      <c r="F65" s="30">
        <v>46261.0</v>
      </c>
      <c r="G65" s="30">
        <v>46266.0</v>
      </c>
      <c r="H65" s="31" t="s">
        <v>6</v>
      </c>
      <c r="I65" s="33" t="s">
        <v>11</v>
      </c>
      <c r="J65" s="28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</row>
    <row r="66" ht="30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30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K7:AV65">
    <cfRule type="expression" dxfId="0" priority="1" stopIfTrue="1">
      <formula>AND(K$6&gt;=$F7, K$6&lt;=$G7, $H7="송태현")</formula>
    </cfRule>
  </conditionalFormatting>
  <conditionalFormatting sqref="K7:AV65">
    <cfRule type="expression" dxfId="1" priority="2" stopIfTrue="1">
      <formula>AND(K$6&gt;=$F7, K$6&lt;=$G7, $H7="조종현")</formula>
    </cfRule>
  </conditionalFormatting>
  <conditionalFormatting sqref="K7:AV65">
    <cfRule type="expression" dxfId="2" priority="3" stopIfTrue="1">
      <formula>AND(K$6&gt;=$F7, K$6&lt;=$G7, $H7="구영주")</formula>
    </cfRule>
  </conditionalFormatting>
  <conditionalFormatting sqref="K7:AV65">
    <cfRule type="expression" dxfId="3" priority="4" stopIfTrue="1">
      <formula>AND(K$6&gt;=$F7, K$6&lt;=$G7, $H7="김현서")</formula>
    </cfRule>
  </conditionalFormatting>
  <dataValidations>
    <dataValidation type="list" allowBlank="1" sqref="H7:H67">
      <formula1>"송태현,조종현,구영주,김현서,이유빈"</formula1>
    </dataValidation>
    <dataValidation type="list" allowBlank="1" sqref="I7:I67">
      <formula1>"완료,진행 중,대기,보류"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26.0"/>
    <col customWidth="1" min="4" max="5" width="9.0"/>
    <col customWidth="1" min="6" max="6" width="10.0"/>
    <col customWidth="1" min="7" max="7" width="9.0"/>
    <col customWidth="1" min="8" max="8" width="1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6" t="s">
        <v>5</v>
      </c>
      <c r="C4" s="8" t="s">
        <v>8</v>
      </c>
      <c r="D4" s="6" t="s">
        <v>10</v>
      </c>
      <c r="E4" s="6" t="s">
        <v>11</v>
      </c>
      <c r="F4" s="6" t="s">
        <v>13</v>
      </c>
      <c r="G4" s="6" t="s">
        <v>14</v>
      </c>
      <c r="H4" s="6" t="s">
        <v>15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1" t="s">
        <v>6</v>
      </c>
      <c r="C5" s="12" t="s">
        <v>16</v>
      </c>
      <c r="D5" s="14">
        <f>COUNTIF('개발 일정표'!$H$7:$H$65,$B5)</f>
        <v>33</v>
      </c>
      <c r="E5" s="14">
        <f>COUNTIFS('개발 일정표'!$H$7:$H$65,$B5,'개발 일정표'!$I$7:$I$65,"완료")</f>
        <v>33</v>
      </c>
      <c r="F5" s="14">
        <f>COUNTIFS('개발 일정표'!$H$7:$H$65,$B5,'개발 일정표'!$I$7:$I$65,"진행 중")</f>
        <v>0</v>
      </c>
      <c r="G5" s="14">
        <f>COUNTIFS('개발 일정표'!$H$7:$H$65,$B5,'개발 일정표'!$I$7:$I$65,"대기")</f>
        <v>0</v>
      </c>
      <c r="H5" s="21">
        <f t="shared" ref="H5:H9" si="1">IF(D5=0,0,E5/D5)</f>
        <v>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22" t="s">
        <v>7</v>
      </c>
      <c r="C6" s="12" t="s">
        <v>25</v>
      </c>
      <c r="D6" s="14">
        <f>COUNTIF('개발 일정표'!$H$7:$H$65,$B6)</f>
        <v>7</v>
      </c>
      <c r="E6" s="14">
        <f>COUNTIFS('개발 일정표'!$H$7:$H$65,$B6,'개발 일정표'!$I$7:$I$65,"완료")</f>
        <v>7</v>
      </c>
      <c r="F6" s="14">
        <f>COUNTIFS('개발 일정표'!$H$7:$H$65,$B6,'개발 일정표'!$I$7:$I$65,"진행 중")</f>
        <v>0</v>
      </c>
      <c r="G6" s="14">
        <f>COUNTIFS('개발 일정표'!$H$7:$H$65,$B6,'개발 일정표'!$I$7:$I$65,"대기")</f>
        <v>0</v>
      </c>
      <c r="H6" s="21">
        <f t="shared" si="1"/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25" t="s">
        <v>9</v>
      </c>
      <c r="C7" s="12" t="s">
        <v>26</v>
      </c>
      <c r="D7" s="14">
        <f>COUNTIF('개발 일정표'!$H$7:$H$65,$B7)</f>
        <v>12</v>
      </c>
      <c r="E7" s="14">
        <f>COUNTIFS('개발 일정표'!$H$7:$H$65,$B7,'개발 일정표'!$I$7:$I$65,"완료")</f>
        <v>12</v>
      </c>
      <c r="F7" s="14">
        <f>COUNTIFS('개발 일정표'!$H$7:$H$65,$B7,'개발 일정표'!$I$7:$I$65,"진행 중")</f>
        <v>0</v>
      </c>
      <c r="G7" s="14">
        <f>COUNTIFS('개발 일정표'!$H$7:$H$65,$B7,'개발 일정표'!$I$7:$I$65,"대기")</f>
        <v>0</v>
      </c>
      <c r="H7" s="21">
        <f t="shared" si="1"/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6" t="s">
        <v>12</v>
      </c>
      <c r="C8" s="12" t="s">
        <v>27</v>
      </c>
      <c r="D8" s="14">
        <f>COUNTIF('개발 일정표'!$H$7:$H$65,$B8)</f>
        <v>7</v>
      </c>
      <c r="E8" s="14">
        <f>COUNTIFS('개발 일정표'!$H$7:$H$65,$B8,'개발 일정표'!$I$7:$I$65,"완료")</f>
        <v>7</v>
      </c>
      <c r="F8" s="14">
        <f>COUNTIFS('개발 일정표'!$H$7:$H$65,$B8,'개발 일정표'!$I$7:$I$65,"진행 중")</f>
        <v>0</v>
      </c>
      <c r="G8" s="14">
        <f>COUNTIFS('개발 일정표'!$H$7:$H$65,$B8,'개발 일정표'!$I$7:$I$65,"대기")</f>
        <v>0</v>
      </c>
      <c r="H8" s="21">
        <f t="shared" si="1"/>
        <v>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2" t="s">
        <v>32</v>
      </c>
      <c r="C9" s="34"/>
      <c r="D9" s="32">
        <f t="shared" ref="D9:G9" si="2">SUM(D5:D8)</f>
        <v>59</v>
      </c>
      <c r="E9" s="32">
        <f t="shared" si="2"/>
        <v>59</v>
      </c>
      <c r="F9" s="32">
        <f t="shared" si="2"/>
        <v>0</v>
      </c>
      <c r="G9" s="32">
        <f t="shared" si="2"/>
        <v>0</v>
      </c>
      <c r="H9" s="36">
        <f t="shared" si="1"/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7" t="s">
        <v>33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