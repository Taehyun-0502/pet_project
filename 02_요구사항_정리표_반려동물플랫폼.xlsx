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리표" sheetId="1" r:id="rId5"/>
    <sheet state="visible" name="대분류별 집계" sheetId="2" r:id="rId6"/>
  </sheets>
  <definedNames>
    <definedName hidden="1" localSheetId="0" name="_xlnm._FilterDatabase">'요구사항 정리표'!$B$5:$J$115</definedName>
  </definedNames>
  <calcPr/>
</workbook>
</file>

<file path=xl/sharedStrings.xml><?xml version="1.0" encoding="utf-8"?>
<sst xmlns="http://schemas.openxmlformats.org/spreadsheetml/2006/main" count="587" uniqueCount="273">
  <si>
    <t>대분류별 요구사항 집계</t>
  </si>
  <si>
    <t>반려동물 종합 플랫폼 요구사항 정리표</t>
  </si>
  <si>
    <t>대분류</t>
  </si>
  <si>
    <t>전체</t>
  </si>
  <si>
    <t>완료</t>
  </si>
  <si>
    <t>진행중</t>
  </si>
  <si>
    <t>대기</t>
  </si>
  <si>
    <t>완료율</t>
  </si>
  <si>
    <t>공통/인증</t>
  </si>
  <si>
    <t>요구사항 ID</t>
  </si>
  <si>
    <t>상세 분류</t>
  </si>
  <si>
    <t>요구사항 명</t>
  </si>
  <si>
    <t>상세 설명</t>
  </si>
  <si>
    <t>중요도</t>
  </si>
  <si>
    <t>진행 상태</t>
  </si>
  <si>
    <t>권한</t>
  </si>
  <si>
    <t>비고</t>
  </si>
  <si>
    <t>REQ-001</t>
  </si>
  <si>
    <t>계정</t>
  </si>
  <si>
    <t>회원가입</t>
  </si>
  <si>
    <t>이메일·비밀번호(BCrypt) 가입, 활성 회원 기준 이메일 중복 검사(lower 기준)</t>
  </si>
  <si>
    <t>공통/인프라</t>
  </si>
  <si>
    <t>높음</t>
  </si>
  <si>
    <t>REQ-002</t>
  </si>
  <si>
    <t>로그인</t>
  </si>
  <si>
    <t>JWT 액세스 토큰(15분, HS512) 발급</t>
  </si>
  <si>
    <t>REQ-003</t>
  </si>
  <si>
    <t>리프레시 토큰</t>
  </si>
  <si>
    <t>DB 해시 저장+HttpOnly 쿠키(14일), 회전·재사용 감지 시 전체 폐기</t>
  </si>
  <si>
    <t>반려동물</t>
  </si>
  <si>
    <t>REQ-004</t>
  </si>
  <si>
    <t>액세스 토큰 자동 재발급</t>
  </si>
  <si>
    <t>401 시 /refresh 후 원요청 재시도, 동시 요청도 재발급 1회로 묶음</t>
  </si>
  <si>
    <t>회원</t>
  </si>
  <si>
    <t>REQ-005</t>
  </si>
  <si>
    <t>카카오 로그인</t>
  </si>
  <si>
    <t>인가 코드 교환·자동 가입, 이메일 미제공 허용, 임의 닉네임 생성</t>
  </si>
  <si>
    <t>REQ-006</t>
  </si>
  <si>
    <t>비밀번호 변경</t>
  </si>
  <si>
    <t>현재 비밀번호 확인, 타 기기 토큰 전체 폐기+현재 기기 재발급</t>
  </si>
  <si>
    <t>REQ-007</t>
  </si>
  <si>
    <t>닉네임 수정·중복 방지</t>
  </si>
  <si>
    <t>활성 회원 기준 lower(name) 유니크(DB 백스톱 인덱스)</t>
  </si>
  <si>
    <t>중간</t>
  </si>
  <si>
    <t>오픈채팅</t>
  </si>
  <si>
    <t>REQ-008</t>
  </si>
  <si>
    <t>회원 프로필 사진</t>
  </si>
  <si>
    <t>Storage 업로드(고정 경로 upsert+캐시버스터), 브라우저 리사이징</t>
  </si>
  <si>
    <t>REQ-009</t>
  </si>
  <si>
    <t>보안</t>
  </si>
  <si>
    <t>로그인 기기 관리</t>
  </si>
  <si>
    <t>기기 목록(UA 파싱)·원격 로그아웃, 현재 세션 폐기 거부(400)</t>
  </si>
  <si>
    <t>REQ-010</t>
  </si>
  <si>
    <t>회원 탈퇴</t>
  </si>
  <si>
    <t>소프트 삭제+전 토큰 폐기, 방장 방 보유 시 409 거부</t>
  </si>
  <si>
    <t>REQ-011</t>
  </si>
  <si>
    <t>공개 회원 프로필</t>
  </si>
  <si>
    <t>GET /members/{id}/profile — 이름·사진 공개 조회</t>
  </si>
  <si>
    <t>REQ-012</t>
  </si>
  <si>
    <t>소유자 데이터 격리</t>
  </si>
  <si>
    <t>AI 진단</t>
  </si>
  <si>
    <t>본인 반려동물만 접근, 타인·삭제·없음 모두 404로 통일</t>
  </si>
  <si>
    <t>REQ-013</t>
  </si>
  <si>
    <t>규약</t>
  </si>
  <si>
    <t>공통 응답 포맷</t>
  </si>
  <si>
    <t>ApiResponse&lt;T&gt; + GlobalExceptionHandler 일괄 처리</t>
  </si>
  <si>
    <t>REQ-014</t>
  </si>
  <si>
    <t>도메인별 에러 코드</t>
  </si>
  <si>
    <t>XxxErrorCode enum, code 문자열은 전역 유일(프론트 계약)</t>
  </si>
  <si>
    <t>REQ-015</t>
  </si>
  <si>
    <t>DB</t>
  </si>
  <si>
    <t>트랜잭션 풀러 연결</t>
  </si>
  <si>
    <t>pooler 6543+prepareThreshold=0, HikariCP 풀 5</t>
  </si>
  <si>
    <t>REQ-016</t>
  </si>
  <si>
    <t>인프라</t>
  </si>
  <si>
    <t>CORS·쿠키 계약</t>
  </si>
  <si>
    <t>오리진 단일 출처화(CORS_ALLOWED_ORIGINS), credentials 포함</t>
  </si>
  <si>
    <t>지도</t>
  </si>
  <si>
    <t>REQ-017</t>
  </si>
  <si>
    <t>배포</t>
  </si>
  <si>
    <t>EC2 배포+CI/CD</t>
  </si>
  <si>
    <t>EC2+nginx+systemd, GitHub Actions main push 자동 배포</t>
  </si>
  <si>
    <t>dddang.duckdns.org</t>
  </si>
  <si>
    <t>REQ-018</t>
  </si>
  <si>
    <t>HTTPS</t>
  </si>
  <si>
    <t>duckdns 도메인+인증서, WS 프록시·SPA fallback</t>
  </si>
  <si>
    <t>REQ-019</t>
  </si>
  <si>
    <t>배치</t>
  </si>
  <si>
    <t>만료 토큰 정리</t>
  </si>
  <si>
    <t>만료 7일 경과 리프레시 토큰 삭제(04:30), 폐기 행은 보존</t>
  </si>
  <si>
    <t>낮음</t>
  </si>
  <si>
    <t>REQ-021</t>
  </si>
  <si>
    <t>펫</t>
  </si>
  <si>
    <t>펫 등록</t>
  </si>
  <si>
    <t>이름·품종·생일 등록, 등록 시 사진 첨부(등록→업로드 2단계 연계)</t>
  </si>
  <si>
    <t>산책</t>
  </si>
  <si>
    <t>REQ-022</t>
  </si>
  <si>
    <t>펫 목록</t>
  </si>
  <si>
    <t>홈 목록·썸네일, sort_order ASC→최근 등록순 정렬</t>
  </si>
  <si>
    <t>REQ-023</t>
  </si>
  <si>
    <t>펫 상세·수정·삭제</t>
  </si>
  <si>
    <t>PUT 전체 교체, 소프트 삭제, 낙관적 잠금(@Version)</t>
  </si>
  <si>
    <t>REQ-024</t>
  </si>
  <si>
    <t>펫 프로필 사진</t>
  </si>
  <si>
    <t>Storage 업로드+리사이징, 미등록 시 placeholder</t>
  </si>
  <si>
    <t>REQ-025</t>
  </si>
  <si>
    <t>노출 순서 저장</t>
  </si>
  <si>
    <t>PUT /pets/order — 홈 노출 순서 지정</t>
  </si>
  <si>
    <t>REQ-026</t>
  </si>
  <si>
    <t>온보딩</t>
  </si>
  <si>
    <t>가입 직후 등록 유도</t>
  </si>
  <si>
    <t>가입→자동 로그인→/welcome 1회 노출</t>
  </si>
  <si>
    <t>숏츠</t>
  </si>
  <si>
    <t>REQ-027</t>
  </si>
  <si>
    <t>홈 펫 프로필 노출</t>
  </si>
  <si>
    <t>홈 상단 펫 카드(노출 개수 제한)</t>
  </si>
  <si>
    <t>REQ-028</t>
  </si>
  <si>
    <t>방</t>
  </si>
  <si>
    <t>방 생성</t>
  </si>
  <si>
    <t>누구나 생성, 카테고리(산책·훈련·건강·자유)·정원(2~100)·소개 입력</t>
  </si>
  <si>
    <t>REQ-029</t>
  </si>
  <si>
    <t>방 목록·검색·필터</t>
  </si>
  <si>
    <t>keyword(이름+소개 ILIKE)·카테고리·참여자순 정렬</t>
  </si>
  <si>
    <t>REQ-030</t>
  </si>
  <si>
    <t>입장·나가기</t>
  </si>
  <si>
    <t>정원 검사 409, 강퇴 이력 재입장 차단</t>
  </si>
  <si>
    <t>광고</t>
  </si>
  <si>
    <t>REQ-031</t>
  </si>
  <si>
    <t>방 내 권한 3종</t>
  </si>
  <si>
    <t>OWNER/MANAGER/MEMBER, MANAGER 지명·해제</t>
  </si>
  <si>
    <t>방장</t>
  </si>
  <si>
    <t>REQ-032</t>
  </si>
  <si>
    <t>강퇴</t>
  </si>
  <si>
    <t>방장·매니저가 강퇴, KICKED 이력 기록</t>
  </si>
  <si>
    <t>방장·매니저</t>
  </si>
  <si>
    <t>REQ-033</t>
  </si>
  <si>
    <t>방장 위임·방 삭제</t>
  </si>
  <si>
    <t>위임 후 나가기, 방 삭제는 OWNER만</t>
  </si>
  <si>
    <t>REQ-034</t>
  </si>
  <si>
    <t>AI 비서</t>
  </si>
  <si>
    <t>메시지</t>
  </si>
  <si>
    <t>실시간 메시지</t>
  </si>
  <si>
    <t>WebSocket(STOMP), 재연결 복구 커서 분리</t>
  </si>
  <si>
    <t>참여자</t>
  </si>
  <si>
    <t>REQ-035</t>
  </si>
  <si>
    <t>메시지 조회</t>
  </si>
  <si>
    <t>afterId 증분(상한 500)+초기 50개</t>
  </si>
  <si>
    <t>REQ-036</t>
  </si>
  <si>
    <t>과거 페이지네이션</t>
  </si>
  <si>
    <t>beforeId 50개, 스크롤 위치 보정</t>
  </si>
  <si>
    <t>REQ-037</t>
  </si>
  <si>
    <t>UI/홈</t>
  </si>
  <si>
    <t>안 읽은 배지</t>
  </si>
  <si>
    <t>last_read_message_id, 목록 배지 99+ 상한</t>
  </si>
  <si>
    <t>REQ-038</t>
  </si>
  <si>
    <t>공지 핀</t>
  </si>
  <si>
    <t>방당 1개 교체, PIN_CHANGED 실시간 갱신</t>
  </si>
  <si>
    <t>REQ-039</t>
  </si>
  <si>
    <t>이미지 전송</t>
  </si>
  <si>
    <t>공개 버킷+추측 불가 경로, 본문·이미지 XOR CHECK</t>
  </si>
  <si>
    <t>REQ-040</t>
  </si>
  <si>
    <t>방 정보 수정</t>
  </si>
  <si>
    <t>OWNER 전체 교체(생략=삭제), 정원 축소 허용</t>
  </si>
  <si>
    <t>디바이스</t>
  </si>
  <si>
    <t>REQ-041</t>
  </si>
  <si>
    <t>방 고정</t>
  </si>
  <si>
    <t>pinned_at — 내 방 목록 상단 고정/해제</t>
  </si>
  <si>
    <t>REQ-042</t>
  </si>
  <si>
    <t>UI</t>
  </si>
  <si>
    <t>채팅 아바타</t>
  </si>
  <si>
    <t>말풍선·참여자 목록에 프로필 사진 표시</t>
  </si>
  <si>
    <t>REQ-043</t>
  </si>
  <si>
    <t>피부 진단</t>
  </si>
  <si>
    <t>1차 이진분류</t>
  </si>
  <si>
    <t>피부 병변 유무 분류</t>
  </si>
  <si>
    <t>REQ-044</t>
  </si>
  <si>
    <t>게시판</t>
  </si>
  <si>
    <t>2차 세부 질병 분류</t>
  </si>
  <si>
    <t>1차 통과 이미지의 세부 질병 분류</t>
  </si>
  <si>
    <t>REQ-045</t>
  </si>
  <si>
    <t>종합검사</t>
  </si>
  <si>
    <t>융합 모델</t>
  </si>
  <si>
    <t>피부+문진 융합 종합검사</t>
  </si>
  <si>
    <t>REQ-046</t>
  </si>
  <si>
    <t>리포트</t>
  </si>
  <si>
    <t>진단서 PDF</t>
  </si>
  <si>
    <t>진단 결과 PDF 진단서 출력</t>
  </si>
  <si>
    <t>REQ-047</t>
  </si>
  <si>
    <t>연계</t>
  </si>
  <si>
    <t>진단 후 병원 안내</t>
  </si>
  <si>
    <t>진단 결과에서 주변 동물병원 지도 노출</t>
  </si>
  <si>
    <t>REQ-048</t>
  </si>
  <si>
    <t>서빙</t>
  </si>
  <si>
    <t>모델 서버 배포</t>
  </si>
  <si>
    <t>FastAPI 모델 서버 별도 배포(1차 배포 제외)</t>
  </si>
  <si>
    <t>합계</t>
  </si>
  <si>
    <t>AI_SERVER_URL 미연결</t>
  </si>
  <si>
    <t>REQ-049</t>
  </si>
  <si>
    <t>장소</t>
  </si>
  <si>
    <t>주변 장소 검색</t>
  </si>
  <si>
    <t>카카오 장소 API — 병원·카페·미용샵 등 카테고리</t>
  </si>
  <si>
    <t>REQ-050</t>
  </si>
  <si>
    <t>현위치 이동</t>
  </si>
  <si>
    <t>초기 진입 내 위치, 재검색 시 축척 유지</t>
  </si>
  <si>
    <t>REQ-051</t>
  </si>
  <si>
    <t>AI</t>
  </si>
  <si>
    <t>AI 장소 추천</t>
  </si>
  <si>
    <t>챗봇 tool use+장소 검색 결합(/api/ai-search)</t>
  </si>
  <si>
    <t>※ 진행 상태는 pet_project 코드·설계 문서(roadmap.md, api-spec.md, schema.sql) 및 git 커밋 이력(2026-09-01 기준)을 근거로 작성했습니다.</t>
  </si>
  <si>
    <t>REQ-052</t>
  </si>
  <si>
    <t>지도 모바일 UI</t>
  </si>
  <si>
    <t>360px 모바일 퍼스트, 오버레이·토스트</t>
  </si>
  <si>
    <t>REQ-053</t>
  </si>
  <si>
    <t>산책로 정보</t>
  </si>
  <si>
    <t>산책로 추가·조회</t>
  </si>
  <si>
    <t>REQ-054</t>
  </si>
  <si>
    <t>산책 기록</t>
  </si>
  <si>
    <t>walk_record 기록 저장·조회</t>
  </si>
  <si>
    <t>REQ-055</t>
  </si>
  <si>
    <t>산책 알림</t>
  </si>
  <si>
    <t>산책 알림 발송</t>
  </si>
  <si>
    <t>REQ-056</t>
  </si>
  <si>
    <t>영상 업로드</t>
  </si>
  <si>
    <t>Storage shorts 버킷 업로드</t>
  </si>
  <si>
    <t>REQ-057</t>
  </si>
  <si>
    <t>피드</t>
  </si>
  <si>
    <t>피드 정렬 알고리즘, 비로그인 열람 가능</t>
  </si>
  <si>
    <t>REQ-058</t>
  </si>
  <si>
    <t>댓글</t>
  </si>
  <si>
    <t>숏츠 댓글 작성·조회</t>
  </si>
  <si>
    <t>조회는 전체</t>
  </si>
  <si>
    <t>REQ-059</t>
  </si>
  <si>
    <t>카메라 촬영</t>
  </si>
  <si>
    <t>앱 내 촬영→업로드 연결</t>
  </si>
  <si>
    <t>REQ-060</t>
  </si>
  <si>
    <t>썸네일</t>
  </si>
  <si>
    <t>업로드 영상 썸네일 생성</t>
  </si>
  <si>
    <t>REQ-061</t>
  </si>
  <si>
    <t>릴스</t>
  </si>
  <si>
    <t>회원별 릴스 목록</t>
  </si>
  <si>
    <t>GET /shorts/members/{id} — 내 게시물·유저 페이지</t>
  </si>
  <si>
    <t>REQ-062</t>
  </si>
  <si>
    <t>배너</t>
  </si>
  <si>
    <t>광고 배너 노출</t>
  </si>
  <si>
    <t>/api/ads — 홈 광고 배너</t>
  </si>
  <si>
    <t>REQ-063</t>
  </si>
  <si>
    <t>배너 구성 관리</t>
  </si>
  <si>
    <t>배너 소재 추가·수정</t>
  </si>
  <si>
    <t>REQ-064</t>
  </si>
  <si>
    <t>비서</t>
  </si>
  <si>
    <t>비서 알림</t>
  </si>
  <si>
    <t>산책 등 생활 알림 제공</t>
  </si>
  <si>
    <t>REQ-065</t>
  </si>
  <si>
    <t>MCP 등록 안내</t>
  </si>
  <si>
    <t>Desktop 미등록 시 안내 배너 노출</t>
  </si>
  <si>
    <t>REQ-066</t>
  </si>
  <si>
    <t>홈</t>
  </si>
  <si>
    <t>홈 화면</t>
  </si>
  <si>
    <t>펫 프로필·광고 배너·기능 진입점</t>
  </si>
  <si>
    <t>REQ-067</t>
  </si>
  <si>
    <t>하단 고정 탭바</t>
  </si>
  <si>
    <t>모바일 하단 앱바 고정</t>
  </si>
  <si>
    <t>REQ-068</t>
  </si>
  <si>
    <t>디자인 시스템</t>
  </si>
  <si>
    <t>modernist.css(.mn 스코프, 라이트 고정)</t>
  </si>
  <si>
    <t>REQ-069</t>
  </si>
  <si>
    <t>마이페이지</t>
  </si>
  <si>
    <t>탭 구조</t>
  </si>
  <si>
    <t>프로필/보안/펫/탈퇴 URL 연동 탭</t>
  </si>
  <si>
    <t>REQ-070</t>
  </si>
  <si>
    <t>라우팅</t>
  </si>
  <si>
    <t>보호 라우트·404</t>
  </si>
  <si>
    <t>RequireLogin 일괄 가드, returnTo, 404 페이지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</si>
</sst>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1F3864"/>
      <name val="Noto Sans"/>
    </font>
    <font>
      <b/>
      <sz val="15.0"/>
      <color rgb="FFFFFFFF"/>
      <name val="Arial"/>
    </font>
    <font/>
    <font>
      <b/>
      <sz val="11.0"/>
      <color rgb="FFFFFFFF"/>
      <name val="Noto Sans"/>
    </font>
    <font>
      <sz val="10.0"/>
      <color theme="1"/>
      <name val="Noto Sans"/>
    </font>
    <font>
      <b/>
      <sz val="11.0"/>
      <color theme="1"/>
      <name val="Noto Sans"/>
    </font>
    <font>
      <sz val="10.0"/>
      <color theme="1"/>
      <name val="Arial"/>
    </font>
    <font>
      <b/>
      <sz val="11.0"/>
      <color rgb="FF38761D"/>
      <name val="Arial"/>
    </font>
    <font>
      <b/>
      <sz val="11.0"/>
      <color rgb="FFB45F06"/>
      <name val="Arial"/>
    </font>
    <font>
      <b/>
      <sz val="11.0"/>
      <color rgb="FF666666"/>
      <name val="Arial"/>
    </font>
    <font>
      <b/>
      <sz val="11.0"/>
      <color rgb="FF1F3864"/>
      <name val="Arial"/>
    </font>
    <font>
      <b/>
      <sz val="10.0"/>
      <color theme="1"/>
      <name val="Noto Sans"/>
    </font>
    <font>
      <b/>
      <sz val="10.0"/>
      <color theme="1"/>
      <name val="Arial"/>
    </font>
    <font>
      <i/>
      <sz val="9.0"/>
      <color rgb="FF808080"/>
      <name val="Noto Sans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ill="1" applyFont="1">
      <alignment horizontal="center"/>
    </xf>
    <xf borderId="4" fillId="0" fontId="6" numFmtId="0" xfId="0" applyBorder="1" applyFont="1"/>
    <xf borderId="0" fillId="0" fontId="7" numFmtId="0" xfId="0" applyFont="1"/>
    <xf borderId="4" fillId="0" fontId="8" numFmtId="0" xfId="0" applyAlignment="1" applyBorder="1" applyFont="1">
      <alignment horizontal="center"/>
    </xf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4" fillId="2" fontId="5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8" numFmtId="164" xfId="0" applyAlignment="1" applyBorder="1" applyFont="1" applyNumberFormat="1">
      <alignment horizontal="center"/>
    </xf>
    <xf borderId="4" fillId="0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vertical="center"/>
    </xf>
    <xf borderId="4" fillId="0" fontId="8" numFmtId="0" xfId="0" applyBorder="1" applyFont="1"/>
    <xf borderId="4" fillId="6" fontId="13" numFmtId="0" xfId="0" applyBorder="1" applyFill="1" applyFont="1"/>
    <xf borderId="4" fillId="7" fontId="6" numFmtId="0" xfId="0" applyAlignment="1" applyBorder="1" applyFill="1" applyFont="1">
      <alignment horizontal="center" readingOrder="0" vertical="center"/>
    </xf>
    <xf borderId="4" fillId="6" fontId="14" numFmtId="0" xfId="0" applyAlignment="1" applyBorder="1" applyFill="1" applyFont="1">
      <alignment horizontal="center"/>
    </xf>
    <xf borderId="4" fillId="6" fontId="14" numFmtId="164" xfId="0" applyAlignment="1" applyBorder="1" applyFill="1" applyFont="1" applyNumberFormat="1">
      <alignment horizont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8.71"/>
    <col customWidth="1" min="2" max="2" width="13.0"/>
    <col customWidth="1" min="3" max="4" width="14.0"/>
    <col customWidth="1" min="5" max="5" width="30.0"/>
    <col customWidth="1" min="6" max="6" width="52.0"/>
    <col customWidth="1" min="7" max="7" width="9.0"/>
    <col customWidth="1" min="8" max="8" width="11.0"/>
    <col customWidth="1" min="9" max="9" width="22.0"/>
    <col customWidth="1" min="10" max="10" width="30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 ht="31.5" customHeight="1">
      <c r="B2" s="3" t="s">
        <v>1</v>
      </c>
      <c r="C2" s="4"/>
      <c r="D2" s="4"/>
      <c r="E2" s="4"/>
      <c r="F2" s="4"/>
      <c r="G2" s="4"/>
      <c r="H2" s="4"/>
      <c r="I2" s="4"/>
      <c r="J2" s="5"/>
    </row>
    <row r="3">
      <c r="B3" s="1"/>
      <c r="C3" s="1"/>
      <c r="D3" s="1"/>
      <c r="E3" s="1"/>
      <c r="F3" s="1"/>
      <c r="G3" s="1"/>
      <c r="H3" s="1"/>
      <c r="I3" s="1"/>
      <c r="J3" s="1"/>
    </row>
    <row r="4" ht="16.5" customHeight="1">
      <c r="B4" s="8" t="str">
        <f>"전체 요구사항: "&amp;COUNTA(B6:B993)&amp;"건"</f>
        <v>전체 요구사항: 69건</v>
      </c>
      <c r="C4" s="1"/>
      <c r="D4" s="10" t="str">
        <f>COUNTIF(H6:H993,"완료")&amp;"건 완료"</f>
        <v>69건 완료</v>
      </c>
      <c r="E4" s="1"/>
      <c r="F4" s="11" t="str">
        <f>COUNTIF(H6:H993,"진행중")&amp;"건 진행중"</f>
        <v>0건 진행중</v>
      </c>
      <c r="G4" s="1"/>
      <c r="H4" s="12" t="str">
        <f>COUNTIF(H6:H993,"대기")&amp;"건 대기"</f>
        <v>0건 대기</v>
      </c>
      <c r="I4" s="1"/>
      <c r="J4" s="13" t="str">
        <f>IF(COUNTA(B6:B993)=0, "0.0% 완료", TEXT(COUNTIF(H6:H993, "완료")/COUNTA(B6:B993), "0.0%")&amp;" 완료")</f>
        <v>100.0% 완료</v>
      </c>
    </row>
    <row r="5" ht="25.5" customHeight="1">
      <c r="B5" s="14" t="s">
        <v>9</v>
      </c>
      <c r="C5" s="14" t="s">
        <v>2</v>
      </c>
      <c r="D5" s="14" t="s">
        <v>10</v>
      </c>
      <c r="E5" s="14" t="s">
        <v>11</v>
      </c>
      <c r="F5" s="14" t="s">
        <v>12</v>
      </c>
      <c r="G5" s="14" t="s">
        <v>13</v>
      </c>
      <c r="H5" s="14" t="s">
        <v>14</v>
      </c>
      <c r="I5" s="14" t="s">
        <v>15</v>
      </c>
      <c r="J5" s="14" t="s">
        <v>16</v>
      </c>
    </row>
    <row r="6" ht="31.5" customHeight="1">
      <c r="B6" s="15" t="s">
        <v>17</v>
      </c>
      <c r="C6" s="16" t="s">
        <v>8</v>
      </c>
      <c r="D6" s="16" t="s">
        <v>18</v>
      </c>
      <c r="E6" s="18" t="s">
        <v>19</v>
      </c>
      <c r="F6" s="18" t="s">
        <v>20</v>
      </c>
      <c r="G6" s="19" t="s">
        <v>22</v>
      </c>
      <c r="H6" s="20" t="s">
        <v>4</v>
      </c>
      <c r="I6" s="18" t="s">
        <v>3</v>
      </c>
      <c r="J6" s="18"/>
    </row>
    <row r="7" ht="31.5" customHeight="1">
      <c r="B7" s="15" t="s">
        <v>23</v>
      </c>
      <c r="C7" s="16" t="s">
        <v>8</v>
      </c>
      <c r="D7" s="16" t="s">
        <v>18</v>
      </c>
      <c r="E7" s="18" t="s">
        <v>24</v>
      </c>
      <c r="F7" s="18" t="s">
        <v>25</v>
      </c>
      <c r="G7" s="19" t="s">
        <v>22</v>
      </c>
      <c r="H7" s="20" t="s">
        <v>4</v>
      </c>
      <c r="I7" s="18" t="s">
        <v>3</v>
      </c>
      <c r="J7" s="18"/>
    </row>
    <row r="8" ht="31.5" customHeight="1">
      <c r="B8" s="15" t="s">
        <v>26</v>
      </c>
      <c r="C8" s="16" t="s">
        <v>8</v>
      </c>
      <c r="D8" s="16" t="s">
        <v>18</v>
      </c>
      <c r="E8" s="21" t="s">
        <v>27</v>
      </c>
      <c r="F8" s="21" t="s">
        <v>28</v>
      </c>
      <c r="G8" s="19" t="s">
        <v>22</v>
      </c>
      <c r="H8" s="20" t="s">
        <v>4</v>
      </c>
      <c r="I8" s="18" t="s">
        <v>3</v>
      </c>
      <c r="J8" s="21"/>
    </row>
    <row r="9" ht="31.5" customHeight="1">
      <c r="B9" s="15" t="s">
        <v>30</v>
      </c>
      <c r="C9" s="16" t="s">
        <v>8</v>
      </c>
      <c r="D9" s="16" t="s">
        <v>18</v>
      </c>
      <c r="E9" s="21" t="s">
        <v>31</v>
      </c>
      <c r="F9" s="21" t="s">
        <v>32</v>
      </c>
      <c r="G9" s="19" t="s">
        <v>22</v>
      </c>
      <c r="H9" s="20" t="s">
        <v>4</v>
      </c>
      <c r="I9" s="18" t="s">
        <v>33</v>
      </c>
      <c r="J9" s="21"/>
    </row>
    <row r="10" ht="31.5" customHeight="1">
      <c r="B10" s="15" t="s">
        <v>34</v>
      </c>
      <c r="C10" s="16" t="s">
        <v>8</v>
      </c>
      <c r="D10" s="16" t="s">
        <v>18</v>
      </c>
      <c r="E10" s="18" t="s">
        <v>35</v>
      </c>
      <c r="F10" s="21" t="s">
        <v>36</v>
      </c>
      <c r="G10" s="19" t="s">
        <v>22</v>
      </c>
      <c r="H10" s="20" t="s">
        <v>4</v>
      </c>
      <c r="I10" s="18" t="s">
        <v>3</v>
      </c>
      <c r="J10" s="21"/>
    </row>
    <row r="11" ht="31.5" customHeight="1">
      <c r="B11" s="15" t="s">
        <v>37</v>
      </c>
      <c r="C11" s="16" t="s">
        <v>8</v>
      </c>
      <c r="D11" s="16" t="s">
        <v>18</v>
      </c>
      <c r="E11" s="18" t="s">
        <v>38</v>
      </c>
      <c r="F11" s="18" t="s">
        <v>39</v>
      </c>
      <c r="G11" s="19" t="s">
        <v>22</v>
      </c>
      <c r="H11" s="20" t="s">
        <v>4</v>
      </c>
      <c r="I11" s="18" t="s">
        <v>33</v>
      </c>
      <c r="J11" s="21"/>
    </row>
    <row r="12" ht="31.5" customHeight="1">
      <c r="B12" s="15" t="s">
        <v>40</v>
      </c>
      <c r="C12" s="16" t="s">
        <v>8</v>
      </c>
      <c r="D12" s="16" t="s">
        <v>18</v>
      </c>
      <c r="E12" s="18" t="s">
        <v>41</v>
      </c>
      <c r="F12" s="18" t="s">
        <v>42</v>
      </c>
      <c r="G12" s="22" t="s">
        <v>43</v>
      </c>
      <c r="H12" s="20" t="s">
        <v>4</v>
      </c>
      <c r="I12" s="18" t="s">
        <v>33</v>
      </c>
      <c r="J12" s="21"/>
    </row>
    <row r="13" ht="31.5" customHeight="1">
      <c r="B13" s="15" t="s">
        <v>45</v>
      </c>
      <c r="C13" s="16" t="s">
        <v>8</v>
      </c>
      <c r="D13" s="16" t="s">
        <v>18</v>
      </c>
      <c r="E13" s="18" t="s">
        <v>46</v>
      </c>
      <c r="F13" s="18" t="s">
        <v>47</v>
      </c>
      <c r="G13" s="22" t="s">
        <v>43</v>
      </c>
      <c r="H13" s="20" t="s">
        <v>4</v>
      </c>
      <c r="I13" s="18" t="s">
        <v>33</v>
      </c>
      <c r="J13" s="18"/>
    </row>
    <row r="14" ht="31.5" customHeight="1">
      <c r="B14" s="15" t="s">
        <v>48</v>
      </c>
      <c r="C14" s="16" t="s">
        <v>8</v>
      </c>
      <c r="D14" s="16" t="s">
        <v>49</v>
      </c>
      <c r="E14" s="18" t="s">
        <v>50</v>
      </c>
      <c r="F14" s="21" t="s">
        <v>51</v>
      </c>
      <c r="G14" s="22" t="s">
        <v>43</v>
      </c>
      <c r="H14" s="20" t="s">
        <v>4</v>
      </c>
      <c r="I14" s="18" t="s">
        <v>33</v>
      </c>
      <c r="J14" s="21"/>
    </row>
    <row r="15" ht="31.5" customHeight="1">
      <c r="B15" s="15" t="s">
        <v>52</v>
      </c>
      <c r="C15" s="16" t="s">
        <v>8</v>
      </c>
      <c r="D15" s="16" t="s">
        <v>18</v>
      </c>
      <c r="E15" s="18" t="s">
        <v>53</v>
      </c>
      <c r="F15" s="18" t="s">
        <v>54</v>
      </c>
      <c r="G15" s="19" t="s">
        <v>22</v>
      </c>
      <c r="H15" s="20" t="s">
        <v>4</v>
      </c>
      <c r="I15" s="18" t="s">
        <v>33</v>
      </c>
      <c r="J15" s="21"/>
    </row>
    <row r="16" ht="31.5" customHeight="1">
      <c r="B16" s="15" t="s">
        <v>55</v>
      </c>
      <c r="C16" s="16" t="s">
        <v>8</v>
      </c>
      <c r="D16" s="16" t="s">
        <v>18</v>
      </c>
      <c r="E16" s="18" t="s">
        <v>56</v>
      </c>
      <c r="F16" s="18" t="s">
        <v>57</v>
      </c>
      <c r="G16" s="22" t="s">
        <v>43</v>
      </c>
      <c r="H16" s="20" t="s">
        <v>4</v>
      </c>
      <c r="I16" s="18" t="s">
        <v>33</v>
      </c>
      <c r="J16" s="21"/>
    </row>
    <row r="17" ht="31.5" customHeight="1">
      <c r="B17" s="15" t="s">
        <v>58</v>
      </c>
      <c r="C17" s="16" t="s">
        <v>8</v>
      </c>
      <c r="D17" s="16" t="s">
        <v>15</v>
      </c>
      <c r="E17" s="18" t="s">
        <v>59</v>
      </c>
      <c r="F17" s="18" t="s">
        <v>61</v>
      </c>
      <c r="G17" s="19" t="s">
        <v>22</v>
      </c>
      <c r="H17" s="20" t="s">
        <v>4</v>
      </c>
      <c r="I17" s="18" t="s">
        <v>33</v>
      </c>
      <c r="J17" s="21"/>
    </row>
    <row r="18" ht="31.5" customHeight="1">
      <c r="B18" s="15" t="s">
        <v>62</v>
      </c>
      <c r="C18" s="16" t="s">
        <v>21</v>
      </c>
      <c r="D18" s="16" t="s">
        <v>63</v>
      </c>
      <c r="E18" s="18" t="s">
        <v>64</v>
      </c>
      <c r="F18" s="18" t="s">
        <v>65</v>
      </c>
      <c r="G18" s="19" t="s">
        <v>22</v>
      </c>
      <c r="H18" s="20" t="s">
        <v>4</v>
      </c>
      <c r="I18" s="18" t="s">
        <v>3</v>
      </c>
      <c r="J18" s="21"/>
    </row>
    <row r="19" ht="31.5" customHeight="1">
      <c r="B19" s="15" t="s">
        <v>66</v>
      </c>
      <c r="C19" s="16" t="s">
        <v>21</v>
      </c>
      <c r="D19" s="16" t="s">
        <v>63</v>
      </c>
      <c r="E19" s="18" t="s">
        <v>67</v>
      </c>
      <c r="F19" s="18" t="s">
        <v>68</v>
      </c>
      <c r="G19" s="22" t="s">
        <v>43</v>
      </c>
      <c r="H19" s="20" t="s">
        <v>4</v>
      </c>
      <c r="I19" s="18" t="s">
        <v>3</v>
      </c>
      <c r="J19" s="21"/>
    </row>
    <row r="20" ht="31.5" customHeight="1">
      <c r="B20" s="15" t="s">
        <v>69</v>
      </c>
      <c r="C20" s="16" t="s">
        <v>21</v>
      </c>
      <c r="D20" s="16" t="s">
        <v>70</v>
      </c>
      <c r="E20" s="21" t="s">
        <v>71</v>
      </c>
      <c r="F20" s="21" t="s">
        <v>72</v>
      </c>
      <c r="G20" s="19" t="s">
        <v>22</v>
      </c>
      <c r="H20" s="20" t="s">
        <v>4</v>
      </c>
      <c r="I20" s="18" t="s">
        <v>3</v>
      </c>
      <c r="J20" s="21"/>
    </row>
    <row r="21" ht="31.5" customHeight="1">
      <c r="B21" s="15" t="s">
        <v>73</v>
      </c>
      <c r="C21" s="16" t="s">
        <v>21</v>
      </c>
      <c r="D21" s="16" t="s">
        <v>74</v>
      </c>
      <c r="E21" s="18" t="s">
        <v>75</v>
      </c>
      <c r="F21" s="18" t="s">
        <v>76</v>
      </c>
      <c r="G21" s="19" t="s">
        <v>22</v>
      </c>
      <c r="H21" s="20" t="s">
        <v>4</v>
      </c>
      <c r="I21" s="18" t="s">
        <v>3</v>
      </c>
      <c r="J21" s="21"/>
    </row>
    <row r="22" ht="31.5" customHeight="1">
      <c r="B22" s="15" t="s">
        <v>78</v>
      </c>
      <c r="C22" s="16" t="s">
        <v>21</v>
      </c>
      <c r="D22" s="16" t="s">
        <v>79</v>
      </c>
      <c r="E22" s="18" t="s">
        <v>80</v>
      </c>
      <c r="F22" s="18" t="s">
        <v>81</v>
      </c>
      <c r="G22" s="19" t="s">
        <v>22</v>
      </c>
      <c r="H22" s="20" t="s">
        <v>4</v>
      </c>
      <c r="I22" s="18" t="s">
        <v>3</v>
      </c>
      <c r="J22" s="21" t="s">
        <v>82</v>
      </c>
    </row>
    <row r="23" ht="31.5" customHeight="1">
      <c r="B23" s="15" t="s">
        <v>83</v>
      </c>
      <c r="C23" s="16" t="s">
        <v>21</v>
      </c>
      <c r="D23" s="16" t="s">
        <v>79</v>
      </c>
      <c r="E23" s="18" t="s">
        <v>84</v>
      </c>
      <c r="F23" s="18" t="s">
        <v>85</v>
      </c>
      <c r="G23" s="19" t="s">
        <v>22</v>
      </c>
      <c r="H23" s="20" t="s">
        <v>4</v>
      </c>
      <c r="I23" s="18" t="s">
        <v>3</v>
      </c>
      <c r="J23" s="21"/>
    </row>
    <row r="24" ht="31.5" customHeight="1">
      <c r="B24" s="15" t="s">
        <v>86</v>
      </c>
      <c r="C24" s="16" t="s">
        <v>21</v>
      </c>
      <c r="D24" s="16" t="s">
        <v>87</v>
      </c>
      <c r="E24" s="18" t="s">
        <v>88</v>
      </c>
      <c r="F24" s="18" t="s">
        <v>89</v>
      </c>
      <c r="G24" s="20" t="s">
        <v>90</v>
      </c>
      <c r="H24" s="20" t="s">
        <v>4</v>
      </c>
      <c r="I24" s="18" t="s">
        <v>3</v>
      </c>
      <c r="J24" s="21"/>
    </row>
    <row r="25" ht="31.5" customHeight="1">
      <c r="B25" s="15" t="s">
        <v>91</v>
      </c>
      <c r="C25" s="16" t="s">
        <v>29</v>
      </c>
      <c r="D25" s="15" t="s">
        <v>92</v>
      </c>
      <c r="E25" s="18" t="s">
        <v>93</v>
      </c>
      <c r="F25" s="18" t="s">
        <v>94</v>
      </c>
      <c r="G25" s="19" t="s">
        <v>22</v>
      </c>
      <c r="H25" s="20" t="s">
        <v>4</v>
      </c>
      <c r="I25" s="18" t="s">
        <v>33</v>
      </c>
      <c r="J25" s="21"/>
    </row>
    <row r="26" ht="31.5" customHeight="1">
      <c r="B26" s="15" t="s">
        <v>96</v>
      </c>
      <c r="C26" s="16" t="s">
        <v>29</v>
      </c>
      <c r="D26" s="16" t="s">
        <v>92</v>
      </c>
      <c r="E26" s="18" t="s">
        <v>97</v>
      </c>
      <c r="F26" s="18" t="s">
        <v>98</v>
      </c>
      <c r="G26" s="19" t="s">
        <v>22</v>
      </c>
      <c r="H26" s="20" t="s">
        <v>4</v>
      </c>
      <c r="I26" s="18" t="s">
        <v>33</v>
      </c>
      <c r="J26" s="21"/>
    </row>
    <row r="27" ht="31.5" customHeight="1">
      <c r="B27" s="15" t="s">
        <v>99</v>
      </c>
      <c r="C27" s="16" t="s">
        <v>29</v>
      </c>
      <c r="D27" s="16" t="s">
        <v>92</v>
      </c>
      <c r="E27" s="18" t="s">
        <v>100</v>
      </c>
      <c r="F27" s="18" t="s">
        <v>101</v>
      </c>
      <c r="G27" s="19" t="s">
        <v>22</v>
      </c>
      <c r="H27" s="20" t="s">
        <v>4</v>
      </c>
      <c r="I27" s="18" t="s">
        <v>33</v>
      </c>
      <c r="J27" s="21"/>
    </row>
    <row r="28" ht="31.5" customHeight="1">
      <c r="B28" s="15" t="s">
        <v>102</v>
      </c>
      <c r="C28" s="15" t="s">
        <v>29</v>
      </c>
      <c r="D28" s="16" t="s">
        <v>92</v>
      </c>
      <c r="E28" s="18" t="s">
        <v>103</v>
      </c>
      <c r="F28" s="18" t="s">
        <v>104</v>
      </c>
      <c r="G28" s="22" t="s">
        <v>43</v>
      </c>
      <c r="H28" s="20" t="s">
        <v>4</v>
      </c>
      <c r="I28" s="18" t="s">
        <v>33</v>
      </c>
      <c r="J28" s="21"/>
    </row>
    <row r="29" ht="31.5" customHeight="1">
      <c r="B29" s="15" t="s">
        <v>105</v>
      </c>
      <c r="C29" s="15" t="s">
        <v>29</v>
      </c>
      <c r="D29" s="16" t="s">
        <v>92</v>
      </c>
      <c r="E29" s="18" t="s">
        <v>106</v>
      </c>
      <c r="F29" s="18" t="s">
        <v>107</v>
      </c>
      <c r="G29" s="20" t="s">
        <v>90</v>
      </c>
      <c r="H29" s="20" t="s">
        <v>4</v>
      </c>
      <c r="I29" s="18" t="s">
        <v>33</v>
      </c>
      <c r="J29" s="21"/>
    </row>
    <row r="30" ht="31.5" customHeight="1">
      <c r="B30" s="15" t="s">
        <v>108</v>
      </c>
      <c r="C30" s="15" t="s">
        <v>29</v>
      </c>
      <c r="D30" s="16" t="s">
        <v>109</v>
      </c>
      <c r="E30" s="18" t="s">
        <v>110</v>
      </c>
      <c r="F30" s="18" t="s">
        <v>111</v>
      </c>
      <c r="G30" s="22" t="s">
        <v>43</v>
      </c>
      <c r="H30" s="20" t="s">
        <v>4</v>
      </c>
      <c r="I30" s="18" t="s">
        <v>33</v>
      </c>
      <c r="J30" s="21"/>
    </row>
    <row r="31" ht="31.5" customHeight="1">
      <c r="B31" s="15" t="s">
        <v>113</v>
      </c>
      <c r="C31" s="15" t="s">
        <v>29</v>
      </c>
      <c r="D31" s="16" t="s">
        <v>92</v>
      </c>
      <c r="E31" s="18" t="s">
        <v>114</v>
      </c>
      <c r="F31" s="18" t="s">
        <v>115</v>
      </c>
      <c r="G31" s="22" t="s">
        <v>43</v>
      </c>
      <c r="H31" s="20" t="s">
        <v>4</v>
      </c>
      <c r="I31" s="18" t="s">
        <v>33</v>
      </c>
      <c r="J31" s="18"/>
    </row>
    <row r="32" ht="31.5" customHeight="1">
      <c r="B32" s="15" t="s">
        <v>116</v>
      </c>
      <c r="C32" s="15" t="s">
        <v>44</v>
      </c>
      <c r="D32" s="16" t="s">
        <v>117</v>
      </c>
      <c r="E32" s="18" t="s">
        <v>118</v>
      </c>
      <c r="F32" s="21" t="s">
        <v>119</v>
      </c>
      <c r="G32" s="19" t="s">
        <v>22</v>
      </c>
      <c r="H32" s="20" t="s">
        <v>4</v>
      </c>
      <c r="I32" s="18" t="s">
        <v>33</v>
      </c>
      <c r="J32" s="21"/>
    </row>
    <row r="33" ht="31.5" customHeight="1">
      <c r="B33" s="15" t="s">
        <v>120</v>
      </c>
      <c r="C33" s="15" t="s">
        <v>44</v>
      </c>
      <c r="D33" s="16" t="s">
        <v>117</v>
      </c>
      <c r="E33" s="18" t="s">
        <v>121</v>
      </c>
      <c r="F33" s="18" t="s">
        <v>122</v>
      </c>
      <c r="G33" s="19" t="s">
        <v>22</v>
      </c>
      <c r="H33" s="20" t="s">
        <v>4</v>
      </c>
      <c r="I33" s="18" t="s">
        <v>33</v>
      </c>
      <c r="J33" s="21"/>
    </row>
    <row r="34" ht="31.5" customHeight="1">
      <c r="B34" s="15" t="s">
        <v>123</v>
      </c>
      <c r="C34" s="15" t="s">
        <v>44</v>
      </c>
      <c r="D34" s="16" t="s">
        <v>117</v>
      </c>
      <c r="E34" s="18" t="s">
        <v>124</v>
      </c>
      <c r="F34" s="21" t="s">
        <v>125</v>
      </c>
      <c r="G34" s="19" t="s">
        <v>22</v>
      </c>
      <c r="H34" s="20" t="s">
        <v>4</v>
      </c>
      <c r="I34" s="18" t="s">
        <v>33</v>
      </c>
      <c r="J34" s="21"/>
    </row>
    <row r="35" ht="31.5" customHeight="1">
      <c r="B35" s="15" t="s">
        <v>127</v>
      </c>
      <c r="C35" s="15" t="s">
        <v>44</v>
      </c>
      <c r="D35" s="16" t="s">
        <v>15</v>
      </c>
      <c r="E35" s="18" t="s">
        <v>128</v>
      </c>
      <c r="F35" s="18" t="s">
        <v>129</v>
      </c>
      <c r="G35" s="19" t="s">
        <v>22</v>
      </c>
      <c r="H35" s="20" t="s">
        <v>4</v>
      </c>
      <c r="I35" s="18" t="s">
        <v>130</v>
      </c>
      <c r="J35" s="21"/>
    </row>
    <row r="36" ht="31.5" customHeight="1">
      <c r="B36" s="15" t="s">
        <v>131</v>
      </c>
      <c r="C36" s="15" t="s">
        <v>44</v>
      </c>
      <c r="D36" s="16" t="s">
        <v>15</v>
      </c>
      <c r="E36" s="18" t="s">
        <v>132</v>
      </c>
      <c r="F36" s="18" t="s">
        <v>133</v>
      </c>
      <c r="G36" s="19" t="s">
        <v>22</v>
      </c>
      <c r="H36" s="20" t="s">
        <v>4</v>
      </c>
      <c r="I36" s="18" t="s">
        <v>134</v>
      </c>
      <c r="J36" s="18"/>
    </row>
    <row r="37" ht="31.5" customHeight="1">
      <c r="B37" s="15" t="s">
        <v>135</v>
      </c>
      <c r="C37" s="15" t="s">
        <v>44</v>
      </c>
      <c r="D37" s="16" t="s">
        <v>15</v>
      </c>
      <c r="E37" s="18" t="s">
        <v>136</v>
      </c>
      <c r="F37" s="18" t="s">
        <v>137</v>
      </c>
      <c r="G37" s="19" t="s">
        <v>22</v>
      </c>
      <c r="H37" s="20" t="s">
        <v>4</v>
      </c>
      <c r="I37" s="18" t="s">
        <v>130</v>
      </c>
      <c r="J37" s="18"/>
    </row>
    <row r="38" ht="31.5" customHeight="1">
      <c r="B38" s="15" t="s">
        <v>138</v>
      </c>
      <c r="C38" s="15" t="s">
        <v>44</v>
      </c>
      <c r="D38" s="16" t="s">
        <v>140</v>
      </c>
      <c r="E38" s="18" t="s">
        <v>141</v>
      </c>
      <c r="F38" s="18" t="s">
        <v>142</v>
      </c>
      <c r="G38" s="19" t="s">
        <v>22</v>
      </c>
      <c r="H38" s="20" t="s">
        <v>4</v>
      </c>
      <c r="I38" s="18" t="s">
        <v>143</v>
      </c>
      <c r="J38" s="21"/>
    </row>
    <row r="39" ht="31.5" customHeight="1">
      <c r="B39" s="15" t="s">
        <v>144</v>
      </c>
      <c r="C39" s="15" t="s">
        <v>44</v>
      </c>
      <c r="D39" s="16" t="s">
        <v>140</v>
      </c>
      <c r="E39" s="18" t="s">
        <v>145</v>
      </c>
      <c r="F39" s="18" t="s">
        <v>146</v>
      </c>
      <c r="G39" s="19" t="s">
        <v>22</v>
      </c>
      <c r="H39" s="20" t="s">
        <v>4</v>
      </c>
      <c r="I39" s="18" t="s">
        <v>143</v>
      </c>
      <c r="J39" s="21"/>
    </row>
    <row r="40" ht="31.5" customHeight="1">
      <c r="B40" s="15" t="s">
        <v>147</v>
      </c>
      <c r="C40" s="15" t="s">
        <v>44</v>
      </c>
      <c r="D40" s="16" t="s">
        <v>140</v>
      </c>
      <c r="E40" s="18" t="s">
        <v>148</v>
      </c>
      <c r="F40" s="18" t="s">
        <v>149</v>
      </c>
      <c r="G40" s="22" t="s">
        <v>43</v>
      </c>
      <c r="H40" s="20" t="s">
        <v>4</v>
      </c>
      <c r="I40" s="18" t="s">
        <v>143</v>
      </c>
      <c r="J40" s="21"/>
    </row>
    <row r="41" ht="31.5" customHeight="1">
      <c r="B41" s="15" t="s">
        <v>150</v>
      </c>
      <c r="C41" s="15" t="s">
        <v>44</v>
      </c>
      <c r="D41" s="16" t="s">
        <v>140</v>
      </c>
      <c r="E41" s="18" t="s">
        <v>152</v>
      </c>
      <c r="F41" s="18" t="s">
        <v>153</v>
      </c>
      <c r="G41" s="22" t="s">
        <v>43</v>
      </c>
      <c r="H41" s="20" t="s">
        <v>4</v>
      </c>
      <c r="I41" s="18" t="s">
        <v>33</v>
      </c>
      <c r="J41" s="21"/>
    </row>
    <row r="42" ht="31.5" customHeight="1">
      <c r="B42" s="15" t="s">
        <v>154</v>
      </c>
      <c r="C42" s="15" t="s">
        <v>44</v>
      </c>
      <c r="D42" s="16" t="s">
        <v>140</v>
      </c>
      <c r="E42" s="18" t="s">
        <v>155</v>
      </c>
      <c r="F42" s="18" t="s">
        <v>156</v>
      </c>
      <c r="G42" s="22" t="s">
        <v>43</v>
      </c>
      <c r="H42" s="20" t="s">
        <v>4</v>
      </c>
      <c r="I42" s="18" t="s">
        <v>134</v>
      </c>
      <c r="J42" s="21"/>
    </row>
    <row r="43" ht="31.5" customHeight="1">
      <c r="B43" s="15" t="s">
        <v>157</v>
      </c>
      <c r="C43" s="15" t="s">
        <v>44</v>
      </c>
      <c r="D43" s="16" t="s">
        <v>140</v>
      </c>
      <c r="E43" s="18" t="s">
        <v>158</v>
      </c>
      <c r="F43" s="18" t="s">
        <v>159</v>
      </c>
      <c r="G43" s="22" t="s">
        <v>43</v>
      </c>
      <c r="H43" s="20" t="s">
        <v>4</v>
      </c>
      <c r="I43" s="18" t="s">
        <v>143</v>
      </c>
      <c r="J43" s="21"/>
    </row>
    <row r="44" ht="31.5" customHeight="1">
      <c r="B44" s="15" t="s">
        <v>160</v>
      </c>
      <c r="C44" s="16" t="s">
        <v>44</v>
      </c>
      <c r="D44" s="16" t="s">
        <v>117</v>
      </c>
      <c r="E44" s="18" t="s">
        <v>161</v>
      </c>
      <c r="F44" s="21" t="s">
        <v>162</v>
      </c>
      <c r="G44" s="22" t="s">
        <v>43</v>
      </c>
      <c r="H44" s="20" t="s">
        <v>4</v>
      </c>
      <c r="I44" s="18" t="s">
        <v>130</v>
      </c>
      <c r="J44" s="21"/>
    </row>
    <row r="45" ht="31.5" customHeight="1">
      <c r="B45" s="15" t="s">
        <v>164</v>
      </c>
      <c r="C45" s="16" t="s">
        <v>44</v>
      </c>
      <c r="D45" s="16" t="s">
        <v>117</v>
      </c>
      <c r="E45" s="18" t="s">
        <v>165</v>
      </c>
      <c r="F45" s="21" t="s">
        <v>166</v>
      </c>
      <c r="G45" s="20" t="s">
        <v>90</v>
      </c>
      <c r="H45" s="20" t="s">
        <v>4</v>
      </c>
      <c r="I45" s="18" t="s">
        <v>33</v>
      </c>
      <c r="J45" s="21"/>
    </row>
    <row r="46" ht="31.5" customHeight="1">
      <c r="B46" s="15" t="s">
        <v>167</v>
      </c>
      <c r="C46" s="16" t="s">
        <v>44</v>
      </c>
      <c r="D46" s="16" t="s">
        <v>168</v>
      </c>
      <c r="E46" s="18" t="s">
        <v>169</v>
      </c>
      <c r="F46" s="18" t="s">
        <v>170</v>
      </c>
      <c r="G46" s="20" t="s">
        <v>90</v>
      </c>
      <c r="H46" s="20" t="s">
        <v>4</v>
      </c>
      <c r="I46" s="18" t="s">
        <v>143</v>
      </c>
      <c r="J46" s="21"/>
    </row>
    <row r="47" ht="31.5" customHeight="1">
      <c r="B47" s="15" t="s">
        <v>171</v>
      </c>
      <c r="C47" s="16" t="s">
        <v>60</v>
      </c>
      <c r="D47" s="16" t="s">
        <v>172</v>
      </c>
      <c r="E47" s="18" t="s">
        <v>173</v>
      </c>
      <c r="F47" s="21" t="s">
        <v>174</v>
      </c>
      <c r="G47" s="19" t="s">
        <v>22</v>
      </c>
      <c r="H47" s="20" t="s">
        <v>4</v>
      </c>
      <c r="I47" s="18" t="s">
        <v>33</v>
      </c>
      <c r="J47" s="21"/>
    </row>
    <row r="48" ht="31.5" customHeight="1">
      <c r="B48" s="15" t="s">
        <v>175</v>
      </c>
      <c r="C48" s="16" t="s">
        <v>60</v>
      </c>
      <c r="D48" s="16" t="s">
        <v>172</v>
      </c>
      <c r="E48" s="21" t="s">
        <v>177</v>
      </c>
      <c r="F48" s="18" t="s">
        <v>178</v>
      </c>
      <c r="G48" s="19" t="s">
        <v>22</v>
      </c>
      <c r="H48" s="20" t="s">
        <v>4</v>
      </c>
      <c r="I48" s="18" t="s">
        <v>33</v>
      </c>
      <c r="J48" s="21"/>
    </row>
    <row r="49" ht="31.5" customHeight="1">
      <c r="B49" s="15" t="s">
        <v>179</v>
      </c>
      <c r="C49" s="16" t="s">
        <v>60</v>
      </c>
      <c r="D49" s="16" t="s">
        <v>180</v>
      </c>
      <c r="E49" s="18" t="s">
        <v>181</v>
      </c>
      <c r="F49" s="18" t="s">
        <v>182</v>
      </c>
      <c r="G49" s="19" t="s">
        <v>22</v>
      </c>
      <c r="H49" s="20" t="s">
        <v>4</v>
      </c>
      <c r="I49" s="18" t="s">
        <v>33</v>
      </c>
      <c r="J49" s="21"/>
    </row>
    <row r="50" ht="31.5" customHeight="1">
      <c r="B50" s="15" t="s">
        <v>183</v>
      </c>
      <c r="C50" s="16" t="s">
        <v>60</v>
      </c>
      <c r="D50" s="16" t="s">
        <v>184</v>
      </c>
      <c r="E50" s="18" t="s">
        <v>185</v>
      </c>
      <c r="F50" s="18" t="s">
        <v>186</v>
      </c>
      <c r="G50" s="22" t="s">
        <v>43</v>
      </c>
      <c r="H50" s="20" t="s">
        <v>4</v>
      </c>
      <c r="I50" s="18" t="s">
        <v>33</v>
      </c>
      <c r="J50" s="21"/>
    </row>
    <row r="51" ht="31.5" customHeight="1">
      <c r="B51" s="15" t="s">
        <v>187</v>
      </c>
      <c r="C51" s="16" t="s">
        <v>60</v>
      </c>
      <c r="D51" s="16" t="s">
        <v>188</v>
      </c>
      <c r="E51" s="18" t="s">
        <v>189</v>
      </c>
      <c r="F51" s="21" t="s">
        <v>190</v>
      </c>
      <c r="G51" s="22" t="s">
        <v>43</v>
      </c>
      <c r="H51" s="20" t="s">
        <v>4</v>
      </c>
      <c r="I51" s="18" t="s">
        <v>33</v>
      </c>
      <c r="J51" s="21"/>
    </row>
    <row r="52" ht="31.5" customHeight="1">
      <c r="B52" s="15" t="s">
        <v>191</v>
      </c>
      <c r="C52" s="16" t="s">
        <v>60</v>
      </c>
      <c r="D52" s="16" t="s">
        <v>192</v>
      </c>
      <c r="E52" s="18" t="s">
        <v>193</v>
      </c>
      <c r="F52" s="18" t="s">
        <v>194</v>
      </c>
      <c r="G52" s="22" t="s">
        <v>43</v>
      </c>
      <c r="H52" s="25" t="s">
        <v>4</v>
      </c>
      <c r="I52" s="18" t="s">
        <v>3</v>
      </c>
      <c r="J52" s="21" t="s">
        <v>196</v>
      </c>
    </row>
    <row r="53" ht="31.5" customHeight="1">
      <c r="B53" s="15" t="s">
        <v>197</v>
      </c>
      <c r="C53" s="16" t="s">
        <v>77</v>
      </c>
      <c r="D53" s="16" t="s">
        <v>198</v>
      </c>
      <c r="E53" s="18" t="s">
        <v>199</v>
      </c>
      <c r="F53" s="18" t="s">
        <v>200</v>
      </c>
      <c r="G53" s="19" t="s">
        <v>22</v>
      </c>
      <c r="H53" s="20" t="s">
        <v>4</v>
      </c>
      <c r="I53" s="18" t="s">
        <v>33</v>
      </c>
      <c r="J53" s="18"/>
    </row>
    <row r="54" ht="31.5" customHeight="1">
      <c r="B54" s="15" t="s">
        <v>201</v>
      </c>
      <c r="C54" s="16" t="s">
        <v>77</v>
      </c>
      <c r="D54" s="16" t="s">
        <v>198</v>
      </c>
      <c r="E54" s="18" t="s">
        <v>202</v>
      </c>
      <c r="F54" s="21" t="s">
        <v>203</v>
      </c>
      <c r="G54" s="22" t="s">
        <v>43</v>
      </c>
      <c r="H54" s="20" t="s">
        <v>4</v>
      </c>
      <c r="I54" s="18" t="s">
        <v>33</v>
      </c>
      <c r="J54" s="21"/>
    </row>
    <row r="55" ht="31.5" customHeight="1">
      <c r="B55" s="15" t="s">
        <v>204</v>
      </c>
      <c r="C55" s="16" t="s">
        <v>77</v>
      </c>
      <c r="D55" s="16" t="s">
        <v>205</v>
      </c>
      <c r="E55" s="18" t="s">
        <v>206</v>
      </c>
      <c r="F55" s="21" t="s">
        <v>207</v>
      </c>
      <c r="G55" s="22" t="s">
        <v>43</v>
      </c>
      <c r="H55" s="20" t="s">
        <v>4</v>
      </c>
      <c r="I55" s="18" t="s">
        <v>33</v>
      </c>
      <c r="J55" s="21"/>
    </row>
    <row r="56" ht="31.5" customHeight="1">
      <c r="B56" s="15" t="s">
        <v>209</v>
      </c>
      <c r="C56" s="16" t="s">
        <v>77</v>
      </c>
      <c r="D56" s="16" t="s">
        <v>168</v>
      </c>
      <c r="E56" s="18" t="s">
        <v>210</v>
      </c>
      <c r="F56" s="18" t="s">
        <v>211</v>
      </c>
      <c r="G56" s="22" t="s">
        <v>43</v>
      </c>
      <c r="H56" s="20" t="s">
        <v>4</v>
      </c>
      <c r="I56" s="18" t="s">
        <v>33</v>
      </c>
      <c r="J56" s="21"/>
    </row>
    <row r="57" ht="31.5" customHeight="1">
      <c r="B57" s="15" t="s">
        <v>212</v>
      </c>
      <c r="C57" s="16" t="s">
        <v>95</v>
      </c>
      <c r="D57" s="16" t="s">
        <v>95</v>
      </c>
      <c r="E57" s="18" t="s">
        <v>213</v>
      </c>
      <c r="F57" s="18" t="s">
        <v>214</v>
      </c>
      <c r="G57" s="22" t="s">
        <v>43</v>
      </c>
      <c r="H57" s="20" t="s">
        <v>4</v>
      </c>
      <c r="I57" s="18" t="s">
        <v>33</v>
      </c>
      <c r="J57" s="21"/>
    </row>
    <row r="58" ht="31.5" customHeight="1">
      <c r="B58" s="15" t="s">
        <v>215</v>
      </c>
      <c r="C58" s="16" t="s">
        <v>95</v>
      </c>
      <c r="D58" s="16" t="s">
        <v>95</v>
      </c>
      <c r="E58" s="18" t="s">
        <v>216</v>
      </c>
      <c r="F58" s="18" t="s">
        <v>217</v>
      </c>
      <c r="G58" s="22" t="s">
        <v>43</v>
      </c>
      <c r="H58" s="20" t="s">
        <v>4</v>
      </c>
      <c r="I58" s="18" t="s">
        <v>33</v>
      </c>
      <c r="J58" s="21"/>
    </row>
    <row r="59" ht="31.5" customHeight="1">
      <c r="B59" s="15" t="s">
        <v>218</v>
      </c>
      <c r="C59" s="16" t="s">
        <v>95</v>
      </c>
      <c r="D59" s="16" t="s">
        <v>95</v>
      </c>
      <c r="E59" s="18" t="s">
        <v>219</v>
      </c>
      <c r="F59" s="18" t="s">
        <v>220</v>
      </c>
      <c r="G59" s="22" t="s">
        <v>43</v>
      </c>
      <c r="H59" s="20" t="s">
        <v>4</v>
      </c>
      <c r="I59" s="18" t="s">
        <v>33</v>
      </c>
      <c r="J59" s="21"/>
    </row>
    <row r="60" ht="31.5" customHeight="1">
      <c r="B60" s="15" t="s">
        <v>221</v>
      </c>
      <c r="C60" s="16" t="s">
        <v>112</v>
      </c>
      <c r="D60" s="16" t="s">
        <v>112</v>
      </c>
      <c r="E60" s="18" t="s">
        <v>222</v>
      </c>
      <c r="F60" s="21" t="s">
        <v>223</v>
      </c>
      <c r="G60" s="19" t="s">
        <v>22</v>
      </c>
      <c r="H60" s="20" t="s">
        <v>4</v>
      </c>
      <c r="I60" s="18" t="s">
        <v>33</v>
      </c>
      <c r="J60" s="21"/>
    </row>
    <row r="61" ht="31.5" customHeight="1">
      <c r="B61" s="15" t="s">
        <v>224</v>
      </c>
      <c r="C61" s="16" t="s">
        <v>112</v>
      </c>
      <c r="D61" s="16" t="s">
        <v>112</v>
      </c>
      <c r="E61" s="18" t="s">
        <v>225</v>
      </c>
      <c r="F61" s="18" t="s">
        <v>226</v>
      </c>
      <c r="G61" s="19" t="s">
        <v>22</v>
      </c>
      <c r="H61" s="20" t="s">
        <v>4</v>
      </c>
      <c r="I61" s="18" t="s">
        <v>3</v>
      </c>
      <c r="J61" s="21"/>
    </row>
    <row r="62" ht="31.5" customHeight="1">
      <c r="B62" s="15" t="s">
        <v>227</v>
      </c>
      <c r="C62" s="16" t="s">
        <v>112</v>
      </c>
      <c r="D62" s="16" t="s">
        <v>112</v>
      </c>
      <c r="E62" s="18" t="s">
        <v>228</v>
      </c>
      <c r="F62" s="18" t="s">
        <v>229</v>
      </c>
      <c r="G62" s="22" t="s">
        <v>43</v>
      </c>
      <c r="H62" s="20" t="s">
        <v>4</v>
      </c>
      <c r="I62" s="18" t="s">
        <v>33</v>
      </c>
      <c r="J62" s="21" t="s">
        <v>230</v>
      </c>
    </row>
    <row r="63" ht="31.5" customHeight="1">
      <c r="B63" s="15" t="s">
        <v>231</v>
      </c>
      <c r="C63" s="16" t="s">
        <v>112</v>
      </c>
      <c r="D63" s="15" t="s">
        <v>112</v>
      </c>
      <c r="E63" s="18" t="s">
        <v>232</v>
      </c>
      <c r="F63" s="18" t="s">
        <v>233</v>
      </c>
      <c r="G63" s="22" t="s">
        <v>43</v>
      </c>
      <c r="H63" s="20" t="s">
        <v>4</v>
      </c>
      <c r="I63" s="18" t="s">
        <v>33</v>
      </c>
      <c r="J63" s="18"/>
    </row>
    <row r="64" ht="31.5" customHeight="1">
      <c r="B64" s="15" t="s">
        <v>234</v>
      </c>
      <c r="C64" s="16" t="s">
        <v>112</v>
      </c>
      <c r="D64" s="15" t="s">
        <v>112</v>
      </c>
      <c r="E64" s="18" t="s">
        <v>235</v>
      </c>
      <c r="F64" s="21" t="s">
        <v>236</v>
      </c>
      <c r="G64" s="20" t="s">
        <v>90</v>
      </c>
      <c r="H64" s="20" t="s">
        <v>4</v>
      </c>
      <c r="I64" s="18" t="s">
        <v>33</v>
      </c>
      <c r="J64" s="18"/>
    </row>
    <row r="65" ht="31.5" customHeight="1">
      <c r="B65" s="15" t="s">
        <v>237</v>
      </c>
      <c r="C65" s="16" t="s">
        <v>112</v>
      </c>
      <c r="D65" s="16" t="s">
        <v>238</v>
      </c>
      <c r="E65" s="18" t="s">
        <v>239</v>
      </c>
      <c r="F65" s="18" t="s">
        <v>240</v>
      </c>
      <c r="G65" s="22" t="s">
        <v>43</v>
      </c>
      <c r="H65" s="20" t="s">
        <v>4</v>
      </c>
      <c r="I65" s="18" t="s">
        <v>33</v>
      </c>
      <c r="J65" s="21"/>
    </row>
    <row r="66" ht="31.5" customHeight="1">
      <c r="B66" s="15" t="s">
        <v>241</v>
      </c>
      <c r="C66" s="16" t="s">
        <v>126</v>
      </c>
      <c r="D66" s="16" t="s">
        <v>242</v>
      </c>
      <c r="E66" s="18" t="s">
        <v>243</v>
      </c>
      <c r="F66" s="18" t="s">
        <v>244</v>
      </c>
      <c r="G66" s="22" t="s">
        <v>43</v>
      </c>
      <c r="H66" s="20" t="s">
        <v>4</v>
      </c>
      <c r="I66" s="18" t="s">
        <v>3</v>
      </c>
      <c r="J66" s="18"/>
    </row>
    <row r="67" ht="31.5" customHeight="1">
      <c r="B67" s="15" t="s">
        <v>245</v>
      </c>
      <c r="C67" s="16" t="s">
        <v>126</v>
      </c>
      <c r="D67" s="16" t="s">
        <v>242</v>
      </c>
      <c r="E67" s="18" t="s">
        <v>246</v>
      </c>
      <c r="F67" s="18" t="s">
        <v>247</v>
      </c>
      <c r="G67" s="20" t="s">
        <v>90</v>
      </c>
      <c r="H67" s="20" t="s">
        <v>4</v>
      </c>
      <c r="I67" s="18" t="s">
        <v>3</v>
      </c>
      <c r="J67" s="18"/>
    </row>
    <row r="68" ht="31.5" customHeight="1">
      <c r="B68" s="15" t="s">
        <v>248</v>
      </c>
      <c r="C68" s="16" t="s">
        <v>139</v>
      </c>
      <c r="D68" s="16" t="s">
        <v>249</v>
      </c>
      <c r="E68" s="18" t="s">
        <v>250</v>
      </c>
      <c r="F68" s="21" t="s">
        <v>251</v>
      </c>
      <c r="G68" s="22" t="s">
        <v>43</v>
      </c>
      <c r="H68" s="20" t="s">
        <v>4</v>
      </c>
      <c r="I68" s="18" t="s">
        <v>33</v>
      </c>
      <c r="J68" s="21"/>
    </row>
    <row r="69" ht="31.5" customHeight="1">
      <c r="B69" s="15" t="s">
        <v>252</v>
      </c>
      <c r="C69" s="16" t="s">
        <v>139</v>
      </c>
      <c r="D69" s="16" t="s">
        <v>249</v>
      </c>
      <c r="E69" s="18" t="s">
        <v>253</v>
      </c>
      <c r="F69" s="18" t="s">
        <v>254</v>
      </c>
      <c r="G69" s="20" t="s">
        <v>90</v>
      </c>
      <c r="H69" s="20" t="s">
        <v>4</v>
      </c>
      <c r="I69" s="18" t="s">
        <v>33</v>
      </c>
      <c r="J69" s="21"/>
    </row>
    <row r="70" ht="31.5" customHeight="1">
      <c r="B70" s="15" t="s">
        <v>255</v>
      </c>
      <c r="C70" s="16" t="s">
        <v>151</v>
      </c>
      <c r="D70" s="16" t="s">
        <v>256</v>
      </c>
      <c r="E70" s="18" t="s">
        <v>257</v>
      </c>
      <c r="F70" s="18" t="s">
        <v>258</v>
      </c>
      <c r="G70" s="19" t="s">
        <v>22</v>
      </c>
      <c r="H70" s="20" t="s">
        <v>4</v>
      </c>
      <c r="I70" s="18" t="s">
        <v>33</v>
      </c>
      <c r="J70" s="21"/>
    </row>
    <row r="71" ht="31.5" customHeight="1">
      <c r="B71" s="15" t="s">
        <v>259</v>
      </c>
      <c r="C71" s="16" t="s">
        <v>151</v>
      </c>
      <c r="D71" s="16" t="s">
        <v>168</v>
      </c>
      <c r="E71" s="18" t="s">
        <v>260</v>
      </c>
      <c r="F71" s="18" t="s">
        <v>261</v>
      </c>
      <c r="G71" s="22" t="s">
        <v>43</v>
      </c>
      <c r="H71" s="20" t="s">
        <v>4</v>
      </c>
      <c r="I71" s="18" t="s">
        <v>33</v>
      </c>
      <c r="J71" s="21"/>
    </row>
    <row r="72" ht="31.5" customHeight="1">
      <c r="B72" s="15" t="s">
        <v>262</v>
      </c>
      <c r="C72" s="16" t="s">
        <v>151</v>
      </c>
      <c r="D72" s="16" t="s">
        <v>168</v>
      </c>
      <c r="E72" s="18" t="s">
        <v>263</v>
      </c>
      <c r="F72" s="18" t="s">
        <v>264</v>
      </c>
      <c r="G72" s="22" t="s">
        <v>43</v>
      </c>
      <c r="H72" s="20" t="s">
        <v>4</v>
      </c>
      <c r="I72" s="18" t="s">
        <v>3</v>
      </c>
      <c r="J72" s="21"/>
    </row>
    <row r="73" ht="31.5" customHeight="1">
      <c r="B73" s="15" t="s">
        <v>265</v>
      </c>
      <c r="C73" s="16" t="s">
        <v>151</v>
      </c>
      <c r="D73" s="16" t="s">
        <v>266</v>
      </c>
      <c r="E73" s="18" t="s">
        <v>267</v>
      </c>
      <c r="F73" s="18" t="s">
        <v>268</v>
      </c>
      <c r="G73" s="22" t="s">
        <v>43</v>
      </c>
      <c r="H73" s="20" t="s">
        <v>4</v>
      </c>
      <c r="I73" s="18" t="s">
        <v>33</v>
      </c>
      <c r="J73" s="21"/>
    </row>
    <row r="74" ht="31.5" customHeight="1">
      <c r="B74" s="15" t="s">
        <v>269</v>
      </c>
      <c r="C74" s="16" t="s">
        <v>151</v>
      </c>
      <c r="D74" s="16" t="s">
        <v>270</v>
      </c>
      <c r="E74" s="18" t="s">
        <v>271</v>
      </c>
      <c r="F74" s="18" t="s">
        <v>272</v>
      </c>
      <c r="G74" s="22" t="s">
        <v>43</v>
      </c>
      <c r="H74" s="20" t="s">
        <v>4</v>
      </c>
      <c r="I74" s="18" t="s">
        <v>3</v>
      </c>
      <c r="J74" s="21"/>
    </row>
    <row r="75" ht="31.5" customHeight="1">
      <c r="B75" s="1"/>
      <c r="C75" s="1"/>
      <c r="D75" s="1"/>
      <c r="E75" s="1"/>
      <c r="F75" s="1"/>
      <c r="G75" s="1"/>
      <c r="H75" s="1"/>
      <c r="I75" s="1"/>
      <c r="J75" s="1"/>
    </row>
    <row r="76" ht="31.5" customHeight="1">
      <c r="B76" s="1"/>
      <c r="C76" s="1"/>
      <c r="D76" s="1"/>
      <c r="E76" s="1"/>
      <c r="F76" s="1"/>
      <c r="G76" s="1"/>
      <c r="H76" s="1"/>
      <c r="I76" s="1"/>
      <c r="J76" s="1"/>
    </row>
    <row r="77" ht="31.5" customHeight="1">
      <c r="B77" s="1"/>
      <c r="C77" s="1"/>
      <c r="D77" s="1"/>
      <c r="E77" s="1"/>
      <c r="F77" s="1"/>
      <c r="G77" s="1"/>
      <c r="H77" s="1"/>
      <c r="I77" s="1"/>
      <c r="J77" s="1"/>
    </row>
    <row r="78" ht="31.5" customHeight="1">
      <c r="B78" s="1"/>
      <c r="C78" s="1"/>
      <c r="D78" s="1"/>
      <c r="E78" s="1"/>
      <c r="F78" s="1"/>
      <c r="G78" s="1"/>
      <c r="H78" s="1"/>
      <c r="I78" s="1"/>
      <c r="J78" s="1"/>
    </row>
    <row r="79" ht="31.5" customHeight="1">
      <c r="B79" s="1"/>
      <c r="C79" s="1"/>
      <c r="D79" s="1"/>
      <c r="E79" s="1"/>
      <c r="F79" s="1"/>
      <c r="G79" s="1"/>
      <c r="H79" s="1"/>
      <c r="I79" s="1"/>
      <c r="J79" s="1"/>
    </row>
    <row r="80" ht="31.5" customHeight="1">
      <c r="B80" s="1"/>
      <c r="C80" s="1"/>
      <c r="D80" s="1"/>
      <c r="E80" s="1"/>
      <c r="F80" s="1"/>
      <c r="G80" s="1"/>
      <c r="H80" s="1"/>
      <c r="I80" s="1"/>
      <c r="J80" s="1"/>
    </row>
    <row r="81" ht="31.5" customHeight="1">
      <c r="B81" s="1"/>
      <c r="C81" s="1"/>
      <c r="D81" s="1"/>
      <c r="E81" s="1"/>
      <c r="F81" s="1"/>
      <c r="G81" s="1"/>
      <c r="H81" s="1"/>
      <c r="I81" s="1"/>
      <c r="J81" s="1"/>
    </row>
    <row r="82" ht="31.5" customHeight="1">
      <c r="B82" s="1"/>
      <c r="C82" s="1"/>
      <c r="D82" s="1"/>
      <c r="E82" s="1"/>
      <c r="F82" s="1"/>
      <c r="G82" s="1"/>
      <c r="H82" s="1"/>
      <c r="I82" s="1"/>
      <c r="J82" s="1"/>
    </row>
    <row r="83" ht="31.5" customHeight="1">
      <c r="B83" s="1"/>
      <c r="C83" s="1"/>
      <c r="D83" s="1"/>
      <c r="E83" s="1"/>
      <c r="F83" s="1"/>
      <c r="G83" s="1"/>
      <c r="H83" s="1"/>
      <c r="I83" s="1"/>
      <c r="J83" s="1"/>
    </row>
    <row r="84" ht="31.5" customHeight="1">
      <c r="B84" s="1"/>
      <c r="C84" s="1"/>
      <c r="D84" s="1"/>
      <c r="E84" s="1"/>
      <c r="F84" s="1"/>
      <c r="G84" s="1"/>
      <c r="H84" s="1"/>
      <c r="I84" s="1"/>
      <c r="J84" s="1"/>
    </row>
    <row r="85" ht="31.5" customHeight="1">
      <c r="B85" s="1"/>
      <c r="C85" s="1"/>
      <c r="D85" s="1"/>
      <c r="E85" s="1"/>
      <c r="F85" s="1"/>
      <c r="G85" s="1"/>
      <c r="H85" s="1"/>
      <c r="I85" s="1"/>
      <c r="J85" s="1"/>
    </row>
    <row r="86" ht="31.5" customHeight="1">
      <c r="B86" s="1"/>
      <c r="C86" s="1"/>
      <c r="D86" s="1"/>
      <c r="E86" s="1"/>
      <c r="F86" s="1"/>
      <c r="G86" s="1"/>
      <c r="H86" s="1"/>
      <c r="I86" s="1"/>
      <c r="J86" s="1"/>
    </row>
    <row r="87" ht="31.5" customHeight="1">
      <c r="B87" s="1"/>
      <c r="C87" s="1"/>
      <c r="D87" s="1"/>
      <c r="E87" s="1"/>
      <c r="F87" s="1"/>
      <c r="G87" s="1"/>
      <c r="H87" s="1"/>
      <c r="I87" s="1"/>
      <c r="J87" s="1"/>
    </row>
    <row r="88" ht="31.5" customHeight="1">
      <c r="B88" s="1"/>
      <c r="C88" s="1"/>
      <c r="D88" s="1"/>
      <c r="E88" s="1"/>
      <c r="F88" s="1"/>
      <c r="G88" s="1"/>
      <c r="H88" s="1"/>
      <c r="I88" s="1"/>
      <c r="J88" s="1"/>
    </row>
    <row r="89" ht="31.5" customHeight="1">
      <c r="B89" s="1"/>
      <c r="C89" s="1"/>
      <c r="D89" s="1"/>
      <c r="E89" s="1"/>
      <c r="F89" s="1"/>
      <c r="G89" s="1"/>
      <c r="H89" s="1"/>
      <c r="I89" s="1"/>
      <c r="J89" s="1"/>
    </row>
    <row r="90" ht="31.5" customHeight="1">
      <c r="B90" s="1"/>
      <c r="C90" s="1"/>
      <c r="D90" s="1"/>
      <c r="E90" s="1"/>
      <c r="F90" s="1"/>
      <c r="G90" s="1"/>
      <c r="H90" s="1"/>
      <c r="I90" s="1"/>
      <c r="J90" s="1"/>
    </row>
    <row r="91" ht="31.5" customHeight="1">
      <c r="B91" s="1"/>
      <c r="C91" s="1"/>
      <c r="D91" s="1"/>
      <c r="E91" s="1"/>
      <c r="F91" s="1"/>
      <c r="G91" s="1"/>
      <c r="H91" s="1"/>
      <c r="I91" s="1"/>
      <c r="J91" s="1"/>
    </row>
    <row r="92" ht="31.5" customHeight="1">
      <c r="B92" s="1"/>
      <c r="C92" s="1"/>
      <c r="D92" s="1"/>
      <c r="E92" s="1"/>
      <c r="F92" s="1"/>
      <c r="G92" s="1"/>
      <c r="H92" s="1"/>
      <c r="I92" s="1"/>
      <c r="J92" s="1"/>
    </row>
    <row r="93" ht="31.5" customHeight="1">
      <c r="B93" s="1"/>
      <c r="C93" s="1"/>
      <c r="D93" s="1"/>
      <c r="E93" s="1"/>
      <c r="F93" s="1"/>
      <c r="G93" s="1"/>
      <c r="H93" s="1"/>
      <c r="I93" s="1"/>
      <c r="J93" s="1"/>
    </row>
    <row r="94" ht="31.5" customHeight="1">
      <c r="B94" s="1"/>
      <c r="C94" s="1"/>
      <c r="D94" s="1"/>
      <c r="E94" s="1"/>
      <c r="F94" s="1"/>
      <c r="G94" s="1"/>
      <c r="H94" s="1"/>
      <c r="I94" s="1"/>
      <c r="J94" s="1"/>
    </row>
    <row r="95" ht="31.5" customHeight="1">
      <c r="B95" s="1"/>
      <c r="C95" s="1"/>
      <c r="D95" s="1"/>
      <c r="E95" s="1"/>
      <c r="F95" s="1"/>
      <c r="G95" s="1"/>
      <c r="H95" s="1"/>
      <c r="I95" s="1"/>
      <c r="J95" s="1"/>
    </row>
    <row r="96" ht="31.5" customHeight="1">
      <c r="B96" s="1"/>
      <c r="C96" s="1"/>
      <c r="D96" s="1"/>
      <c r="E96" s="1"/>
      <c r="F96" s="1"/>
      <c r="G96" s="1"/>
      <c r="H96" s="1"/>
      <c r="I96" s="1"/>
      <c r="J96" s="1"/>
    </row>
    <row r="97" ht="31.5" customHeight="1">
      <c r="B97" s="1"/>
      <c r="C97" s="1"/>
      <c r="D97" s="1"/>
      <c r="E97" s="1"/>
      <c r="F97" s="1"/>
      <c r="G97" s="1"/>
      <c r="H97" s="1"/>
      <c r="I97" s="1"/>
      <c r="J97" s="1"/>
    </row>
    <row r="98" ht="31.5" customHeight="1">
      <c r="B98" s="1"/>
      <c r="C98" s="1"/>
      <c r="D98" s="1"/>
      <c r="E98" s="1"/>
      <c r="F98" s="1"/>
      <c r="G98" s="1"/>
      <c r="H98" s="1"/>
      <c r="I98" s="1"/>
      <c r="J98" s="1"/>
    </row>
    <row r="99" ht="31.5" customHeight="1">
      <c r="B99" s="1"/>
      <c r="C99" s="1"/>
      <c r="D99" s="1"/>
      <c r="E99" s="1"/>
      <c r="F99" s="1"/>
      <c r="G99" s="1"/>
      <c r="H99" s="1"/>
      <c r="I99" s="1"/>
      <c r="J99" s="1"/>
    </row>
    <row r="100" ht="31.5" customHeight="1">
      <c r="B100" s="1"/>
      <c r="C100" s="1"/>
      <c r="D100" s="1"/>
      <c r="E100" s="1"/>
      <c r="F100" s="1"/>
      <c r="G100" s="1"/>
      <c r="H100" s="1"/>
      <c r="I100" s="1"/>
      <c r="J100" s="1"/>
    </row>
    <row r="101" ht="31.5" customHeight="1">
      <c r="B101" s="1"/>
      <c r="C101" s="1"/>
      <c r="D101" s="1"/>
      <c r="E101" s="1"/>
      <c r="F101" s="1"/>
      <c r="G101" s="1"/>
      <c r="H101" s="1"/>
      <c r="I101" s="1"/>
      <c r="J101" s="1"/>
    </row>
    <row r="102" ht="31.5" customHeight="1">
      <c r="B102" s="1"/>
      <c r="C102" s="1"/>
      <c r="D102" s="1"/>
      <c r="E102" s="1"/>
      <c r="F102" s="1"/>
      <c r="G102" s="1"/>
      <c r="H102" s="1"/>
      <c r="I102" s="1"/>
      <c r="J102" s="1"/>
    </row>
    <row r="103" ht="31.5" customHeight="1">
      <c r="B103" s="1"/>
      <c r="C103" s="1"/>
      <c r="D103" s="1"/>
      <c r="E103" s="1"/>
      <c r="F103" s="1"/>
      <c r="G103" s="1"/>
      <c r="H103" s="1"/>
      <c r="I103" s="1"/>
      <c r="J103" s="1"/>
    </row>
    <row r="104" ht="31.5" customHeight="1">
      <c r="B104" s="1"/>
      <c r="C104" s="1"/>
      <c r="D104" s="1"/>
      <c r="E104" s="1"/>
      <c r="F104" s="1"/>
      <c r="G104" s="1"/>
      <c r="H104" s="1"/>
      <c r="I104" s="1"/>
      <c r="J104" s="1"/>
    </row>
    <row r="105" ht="31.5" customHeight="1">
      <c r="B105" s="1"/>
      <c r="C105" s="1"/>
      <c r="D105" s="1"/>
      <c r="E105" s="1"/>
      <c r="F105" s="1"/>
      <c r="G105" s="1"/>
      <c r="H105" s="1"/>
      <c r="I105" s="1"/>
      <c r="J105" s="1"/>
    </row>
    <row r="106" ht="31.5" customHeight="1">
      <c r="B106" s="1"/>
      <c r="C106" s="1"/>
      <c r="D106" s="1"/>
      <c r="E106" s="1"/>
      <c r="F106" s="1"/>
      <c r="G106" s="1"/>
      <c r="H106" s="1"/>
      <c r="I106" s="1"/>
      <c r="J106" s="1"/>
    </row>
    <row r="107" ht="31.5" customHeight="1">
      <c r="B107" s="1"/>
      <c r="C107" s="1"/>
      <c r="D107" s="1"/>
      <c r="E107" s="1"/>
      <c r="F107" s="1"/>
      <c r="G107" s="1"/>
      <c r="H107" s="1"/>
      <c r="I107" s="1"/>
      <c r="J107" s="1"/>
    </row>
    <row r="108" ht="31.5" customHeight="1">
      <c r="B108" s="1"/>
      <c r="C108" s="1"/>
      <c r="D108" s="1"/>
      <c r="E108" s="1"/>
      <c r="F108" s="1"/>
      <c r="G108" s="1"/>
      <c r="H108" s="1"/>
      <c r="I108" s="1"/>
      <c r="J108" s="1"/>
    </row>
    <row r="109" ht="31.5" customHeight="1">
      <c r="B109" s="1"/>
      <c r="C109" s="1"/>
      <c r="D109" s="1"/>
      <c r="E109" s="1"/>
      <c r="F109" s="1"/>
      <c r="G109" s="1"/>
      <c r="H109" s="1"/>
      <c r="I109" s="1"/>
      <c r="J109" s="1"/>
    </row>
    <row r="110" ht="31.5" customHeight="1">
      <c r="B110" s="1"/>
      <c r="C110" s="1"/>
      <c r="D110" s="1"/>
      <c r="E110" s="1"/>
      <c r="F110" s="1"/>
      <c r="G110" s="1"/>
      <c r="H110" s="1"/>
      <c r="I110" s="1"/>
      <c r="J110" s="1"/>
    </row>
    <row r="111" ht="31.5" customHeight="1">
      <c r="B111" s="1"/>
      <c r="C111" s="1"/>
      <c r="D111" s="1"/>
      <c r="E111" s="1"/>
      <c r="F111" s="1"/>
      <c r="G111" s="1"/>
      <c r="H111" s="1"/>
      <c r="I111" s="1"/>
      <c r="J111" s="1"/>
    </row>
    <row r="112" ht="31.5" customHeight="1">
      <c r="B112" s="1"/>
      <c r="C112" s="1"/>
      <c r="D112" s="1"/>
      <c r="E112" s="1"/>
      <c r="F112" s="1"/>
      <c r="G112" s="1"/>
      <c r="H112" s="1"/>
      <c r="I112" s="1"/>
      <c r="J112" s="1"/>
    </row>
    <row r="113" ht="31.5" customHeight="1">
      <c r="B113" s="1"/>
      <c r="C113" s="1"/>
      <c r="D113" s="1"/>
      <c r="E113" s="1"/>
      <c r="F113" s="1"/>
      <c r="G113" s="1"/>
      <c r="H113" s="1"/>
      <c r="I113" s="1"/>
      <c r="J113" s="1"/>
    </row>
    <row r="114" ht="31.5" customHeight="1">
      <c r="B114" s="1"/>
      <c r="C114" s="1"/>
      <c r="D114" s="1"/>
      <c r="E114" s="1"/>
      <c r="F114" s="1"/>
      <c r="G114" s="1"/>
      <c r="H114" s="1"/>
      <c r="I114" s="1"/>
      <c r="J114" s="1"/>
    </row>
    <row r="115" ht="31.5" customHeight="1"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B$5:$J$115"/>
  <mergeCells count="1">
    <mergeCell ref="B2:J2"/>
  </mergeCells>
  <dataValidations>
    <dataValidation type="list" allowBlank="1" sqref="G6:G115">
      <formula1>"높음,중간,낮음"</formula1>
    </dataValidation>
    <dataValidation type="list" allowBlank="1" sqref="H6:H115">
      <formula1>"완료,진행중,대기"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6" width="9.0"/>
    <col customWidth="1" min="7" max="7" width="10.0"/>
  </cols>
  <sheetData>
    <row r="1">
      <c r="B1" s="1"/>
      <c r="C1" s="1"/>
      <c r="D1" s="1"/>
      <c r="E1" s="1"/>
      <c r="F1" s="1"/>
      <c r="G1" s="1"/>
    </row>
    <row r="2" ht="17.25" customHeight="1">
      <c r="B2" s="2" t="s">
        <v>0</v>
      </c>
      <c r="C2" s="1"/>
      <c r="D2" s="1"/>
      <c r="E2" s="1"/>
      <c r="F2" s="1"/>
      <c r="G2" s="1"/>
    </row>
    <row r="3">
      <c r="B3" s="1"/>
      <c r="C3" s="1"/>
      <c r="D3" s="1"/>
      <c r="E3" s="1"/>
      <c r="F3" s="1"/>
      <c r="G3" s="1"/>
    </row>
    <row r="4" ht="15.0" customHeight="1"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ht="15.0" customHeight="1">
      <c r="B5" s="7" t="s">
        <v>8</v>
      </c>
      <c r="C5" s="9">
        <f>COUNTIF('요구사항 정리표'!$C$6:$C$74,$B5)</f>
        <v>12</v>
      </c>
      <c r="D5" s="9">
        <f>COUNTIFS('요구사항 정리표'!$C$6:$C$74,$B5,'요구사항 정리표'!$H$6:$H$74,"완료")</f>
        <v>12</v>
      </c>
      <c r="E5" s="9">
        <f>COUNTIFS('요구사항 정리표'!$C$6:$C$74,$B5,'요구사항 정리표'!$H$6:$H$74,"진행중")</f>
        <v>0</v>
      </c>
      <c r="F5" s="9">
        <f>COUNTIFS('요구사항 정리표'!$C$6:$C$74,$B5,'요구사항 정리표'!$H$6:$H$74,"대기")</f>
        <v>0</v>
      </c>
      <c r="G5" s="17">
        <f t="shared" ref="G5:G18" si="1">IF(C5=0,0,D5/C5)</f>
        <v>1</v>
      </c>
    </row>
    <row r="6" ht="15.0" customHeight="1">
      <c r="B6" s="7" t="s">
        <v>21</v>
      </c>
      <c r="C6" s="9">
        <f>COUNTIF('요구사항 정리표'!$C$6:$C$74,$B6)</f>
        <v>7</v>
      </c>
      <c r="D6" s="9">
        <f>COUNTIFS('요구사항 정리표'!$C$6:$C$74,$B6,'요구사항 정리표'!$H$6:$H$74,"완료")</f>
        <v>7</v>
      </c>
      <c r="E6" s="9">
        <f>COUNTIFS('요구사항 정리표'!$C$6:$C$74,$B6,'요구사항 정리표'!$H$6:$H$74,"진행중")</f>
        <v>0</v>
      </c>
      <c r="F6" s="9">
        <f>COUNTIFS('요구사항 정리표'!$C$6:$C$74,$B6,'요구사항 정리표'!$H$6:$H$74,"대기")</f>
        <v>0</v>
      </c>
      <c r="G6" s="17">
        <f t="shared" si="1"/>
        <v>1</v>
      </c>
    </row>
    <row r="7" ht="15.0" customHeight="1">
      <c r="B7" s="7" t="s">
        <v>29</v>
      </c>
      <c r="C7" s="9">
        <f>COUNTIF('요구사항 정리표'!$C$6:$C$74,$B7)</f>
        <v>7</v>
      </c>
      <c r="D7" s="9">
        <f>COUNTIFS('요구사항 정리표'!$C$6:$C$74,$B7,'요구사항 정리표'!$H$6:$H$74,"완료")</f>
        <v>7</v>
      </c>
      <c r="E7" s="9">
        <f>COUNTIFS('요구사항 정리표'!$C$6:$C$74,$B7,'요구사항 정리표'!$H$6:$H$74,"진행중")</f>
        <v>0</v>
      </c>
      <c r="F7" s="9">
        <f>COUNTIFS('요구사항 정리표'!$C$6:$C$74,$B7,'요구사항 정리표'!$H$6:$H$74,"대기")</f>
        <v>0</v>
      </c>
      <c r="G7" s="17">
        <f t="shared" si="1"/>
        <v>1</v>
      </c>
    </row>
    <row r="8" ht="15.0" customHeight="1">
      <c r="B8" s="23" t="s">
        <v>44</v>
      </c>
      <c r="C8" s="9">
        <f>COUNTIF('요구사항 정리표'!$C$6:$C$74,$B8)</f>
        <v>15</v>
      </c>
      <c r="D8" s="9">
        <f>COUNTIFS('요구사항 정리표'!$C$6:$C$74,$B8,'요구사항 정리표'!$H$6:$H$74,"완료")</f>
        <v>15</v>
      </c>
      <c r="E8" s="9">
        <f>COUNTIFS('요구사항 정리표'!$C$6:$C$74,$B8,'요구사항 정리표'!$H$6:$H$74,"진행중")</f>
        <v>0</v>
      </c>
      <c r="F8" s="9">
        <f>COUNTIFS('요구사항 정리표'!$C$6:$C$74,$B8,'요구사항 정리표'!$H$6:$H$74,"대기")</f>
        <v>0</v>
      </c>
      <c r="G8" s="17">
        <f t="shared" si="1"/>
        <v>1</v>
      </c>
    </row>
    <row r="9" ht="15.0" customHeight="1">
      <c r="B9" s="7" t="s">
        <v>60</v>
      </c>
      <c r="C9" s="9">
        <f>COUNTIF('요구사항 정리표'!$C$6:$C$74,$B9)</f>
        <v>6</v>
      </c>
      <c r="D9" s="9">
        <f>COUNTIFS('요구사항 정리표'!$C$6:$C$74,$B9,'요구사항 정리표'!$H$6:$H$74,"완료")</f>
        <v>6</v>
      </c>
      <c r="E9" s="9">
        <f>COUNTIFS('요구사항 정리표'!$C$6:$C$74,$B9,'요구사항 정리표'!$H$6:$H$74,"진행중")</f>
        <v>0</v>
      </c>
      <c r="F9" s="9">
        <f>COUNTIFS('요구사항 정리표'!$C$6:$C$74,$B9,'요구사항 정리표'!$H$6:$H$74,"대기")</f>
        <v>0</v>
      </c>
      <c r="G9" s="17">
        <f t="shared" si="1"/>
        <v>1</v>
      </c>
    </row>
    <row r="10" ht="15.0" customHeight="1">
      <c r="B10" s="7" t="s">
        <v>77</v>
      </c>
      <c r="C10" s="9">
        <f>COUNTIF('요구사항 정리표'!$C$6:$C$74,$B10)</f>
        <v>4</v>
      </c>
      <c r="D10" s="9">
        <f>COUNTIFS('요구사항 정리표'!$C$6:$C$74,$B10,'요구사항 정리표'!$H$6:$H$74,"완료")</f>
        <v>4</v>
      </c>
      <c r="E10" s="9">
        <f>COUNTIFS('요구사항 정리표'!$C$6:$C$74,$B10,'요구사항 정리표'!$H$6:$H$74,"진행중")</f>
        <v>0</v>
      </c>
      <c r="F10" s="9">
        <f>COUNTIFS('요구사항 정리표'!$C$6:$C$74,$B10,'요구사항 정리표'!$H$6:$H$74,"대기")</f>
        <v>0</v>
      </c>
      <c r="G10" s="17">
        <f t="shared" si="1"/>
        <v>1</v>
      </c>
    </row>
    <row r="11" ht="15.0" customHeight="1">
      <c r="B11" s="7" t="s">
        <v>95</v>
      </c>
      <c r="C11" s="9">
        <f>COUNTIF('요구사항 정리표'!$C$6:$C$74,$B11)</f>
        <v>3</v>
      </c>
      <c r="D11" s="9">
        <f>COUNTIFS('요구사항 정리표'!$C$6:$C$74,$B11,'요구사항 정리표'!$H$6:$H$74,"완료")</f>
        <v>3</v>
      </c>
      <c r="E11" s="9">
        <f>COUNTIFS('요구사항 정리표'!$C$6:$C$74,$B11,'요구사항 정리표'!$H$6:$H$74,"진행중")</f>
        <v>0</v>
      </c>
      <c r="F11" s="9">
        <f>COUNTIFS('요구사항 정리표'!$C$6:$C$74,$B11,'요구사항 정리표'!$H$6:$H$74,"대기")</f>
        <v>0</v>
      </c>
      <c r="G11" s="17">
        <f t="shared" si="1"/>
        <v>1</v>
      </c>
    </row>
    <row r="12" ht="15.0" customHeight="1">
      <c r="B12" s="7" t="s">
        <v>112</v>
      </c>
      <c r="C12" s="9">
        <f>COUNTIF('요구사항 정리표'!$C$6:$C$74,$B12)</f>
        <v>6</v>
      </c>
      <c r="D12" s="9">
        <f>COUNTIFS('요구사항 정리표'!$C$6:$C$74,$B12,'요구사항 정리표'!$H$6:$H$74,"완료")</f>
        <v>6</v>
      </c>
      <c r="E12" s="9">
        <f>COUNTIFS('요구사항 정리표'!$C$6:$C$74,$B12,'요구사항 정리표'!$H$6:$H$74,"진행중")</f>
        <v>0</v>
      </c>
      <c r="F12" s="9">
        <f>COUNTIFS('요구사항 정리표'!$C$6:$C$74,$B12,'요구사항 정리표'!$H$6:$H$74,"대기")</f>
        <v>0</v>
      </c>
      <c r="G12" s="17">
        <f t="shared" si="1"/>
        <v>1</v>
      </c>
    </row>
    <row r="13" ht="15.0" customHeight="1">
      <c r="B13" s="7" t="s">
        <v>126</v>
      </c>
      <c r="C13" s="9">
        <f>COUNTIF('요구사항 정리표'!$C$6:$C$74,$B13)</f>
        <v>2</v>
      </c>
      <c r="D13" s="9">
        <f>COUNTIFS('요구사항 정리표'!$C$6:$C$74,$B13,'요구사항 정리표'!$H$6:$H$74,"완료")</f>
        <v>2</v>
      </c>
      <c r="E13" s="9">
        <f>COUNTIFS('요구사항 정리표'!$C$6:$C$74,$B13,'요구사항 정리표'!$H$6:$H$74,"진행중")</f>
        <v>0</v>
      </c>
      <c r="F13" s="9">
        <f>COUNTIFS('요구사항 정리표'!$C$6:$C$74,$B13,'요구사항 정리표'!$H$6:$H$74,"대기")</f>
        <v>0</v>
      </c>
      <c r="G13" s="17">
        <f t="shared" si="1"/>
        <v>1</v>
      </c>
    </row>
    <row r="14" ht="15.0" customHeight="1">
      <c r="B14" s="7" t="s">
        <v>139</v>
      </c>
      <c r="C14" s="9">
        <f>COUNTIF('요구사항 정리표'!$C$6:$C$74,$B14)</f>
        <v>2</v>
      </c>
      <c r="D14" s="9">
        <f>COUNTIFS('요구사항 정리표'!$C$6:$C$74,$B14,'요구사항 정리표'!$H$6:$H$74,"완료")</f>
        <v>2</v>
      </c>
      <c r="E14" s="9">
        <f>COUNTIFS('요구사항 정리표'!$C$6:$C$74,$B14,'요구사항 정리표'!$H$6:$H$74,"진행중")</f>
        <v>0</v>
      </c>
      <c r="F14" s="9">
        <f>COUNTIFS('요구사항 정리표'!$C$6:$C$74,$B14,'요구사항 정리표'!$H$6:$H$74,"대기")</f>
        <v>0</v>
      </c>
      <c r="G14" s="17">
        <f t="shared" si="1"/>
        <v>1</v>
      </c>
    </row>
    <row r="15" ht="15.0" customHeight="1">
      <c r="B15" s="7" t="s">
        <v>151</v>
      </c>
      <c r="C15" s="9">
        <f>COUNTIF('요구사항 정리표'!$C$6:$C$74,$B15)</f>
        <v>5</v>
      </c>
      <c r="D15" s="9">
        <f>COUNTIFS('요구사항 정리표'!$C$6:$C$74,$B15,'요구사항 정리표'!$H$6:$H$74,"완료")</f>
        <v>5</v>
      </c>
      <c r="E15" s="9">
        <f>COUNTIFS('요구사항 정리표'!$C$6:$C$74,$B15,'요구사항 정리표'!$H$6:$H$74,"진행중")</f>
        <v>0</v>
      </c>
      <c r="F15" s="9">
        <f>COUNTIFS('요구사항 정리표'!$C$6:$C$74,$B15,'요구사항 정리표'!$H$6:$H$74,"대기")</f>
        <v>0</v>
      </c>
      <c r="G15" s="17">
        <f t="shared" si="1"/>
        <v>1</v>
      </c>
    </row>
    <row r="16" ht="15.0" customHeight="1">
      <c r="B16" s="23" t="s">
        <v>163</v>
      </c>
      <c r="C16" s="9">
        <f>COUNTIF('요구사항 정리표'!$C$6:$C$74,$B16)</f>
        <v>0</v>
      </c>
      <c r="D16" s="9">
        <f>COUNTIFS('요구사항 정리표'!$C$6:$C$74,$B16,'요구사항 정리표'!$H$6:$H$74,"완료")</f>
        <v>0</v>
      </c>
      <c r="E16" s="9">
        <f>COUNTIFS('요구사항 정리표'!$C$6:$C$74,$B16,'요구사항 정리표'!$H$6:$H$74,"진행중")</f>
        <v>0</v>
      </c>
      <c r="F16" s="9">
        <f>COUNTIFS('요구사항 정리표'!$C$6:$C$74,$B16,'요구사항 정리표'!$H$6:$H$74,"대기")</f>
        <v>0</v>
      </c>
      <c r="G16" s="17">
        <f t="shared" si="1"/>
        <v>0</v>
      </c>
    </row>
    <row r="17" ht="15.0" customHeight="1">
      <c r="B17" s="23" t="s">
        <v>176</v>
      </c>
      <c r="C17" s="9">
        <f>COUNTIF('요구사항 정리표'!$C$6:$C$74,$B17)</f>
        <v>0</v>
      </c>
      <c r="D17" s="9">
        <f>COUNTIFS('요구사항 정리표'!$C$6:$C$74,$B17,'요구사항 정리표'!$H$6:$H$74,"완료")</f>
        <v>0</v>
      </c>
      <c r="E17" s="9">
        <f>COUNTIFS('요구사항 정리표'!$C$6:$C$74,$B17,'요구사항 정리표'!$H$6:$H$74,"진행중")</f>
        <v>0</v>
      </c>
      <c r="F17" s="9">
        <f>COUNTIFS('요구사항 정리표'!$C$6:$C$74,$B17,'요구사항 정리표'!$H$6:$H$74,"대기")</f>
        <v>0</v>
      </c>
      <c r="G17" s="17">
        <f t="shared" si="1"/>
        <v>0</v>
      </c>
    </row>
    <row r="18" ht="15.0" customHeight="1">
      <c r="B18" s="24" t="s">
        <v>195</v>
      </c>
      <c r="C18" s="26">
        <f t="shared" ref="C18:F18" si="2">SUM(C5:C17)</f>
        <v>69</v>
      </c>
      <c r="D18" s="26">
        <f t="shared" si="2"/>
        <v>69</v>
      </c>
      <c r="E18" s="26">
        <f t="shared" si="2"/>
        <v>0</v>
      </c>
      <c r="F18" s="26">
        <f t="shared" si="2"/>
        <v>0</v>
      </c>
      <c r="G18" s="27">
        <f t="shared" si="1"/>
        <v>1</v>
      </c>
    </row>
    <row r="19">
      <c r="B19" s="1"/>
      <c r="C19" s="1"/>
      <c r="D19" s="1"/>
      <c r="E19" s="1"/>
      <c r="F19" s="1"/>
      <c r="G19" s="1"/>
    </row>
    <row r="20" ht="15.0" customHeight="1">
      <c r="B20" s="28" t="s">
        <v>208</v>
      </c>
      <c r="C20" s="1"/>
      <c r="D20" s="1"/>
      <c r="E20" s="1"/>
      <c r="F20" s="1"/>
      <c r="G20" s="1"/>
    </row>
    <row r="21" ht="15.75" customHeight="1">
      <c r="B21" s="1"/>
      <c r="C21" s="1"/>
      <c r="D21" s="1"/>
      <c r="E21" s="1"/>
      <c r="F21" s="1"/>
      <c r="G21" s="1"/>
    </row>
    <row r="22" ht="15.75" customHeight="1">
      <c r="B22" s="1"/>
      <c r="C22" s="1"/>
      <c r="D22" s="1"/>
      <c r="E22" s="1"/>
      <c r="F22" s="1"/>
      <c r="G22" s="1"/>
    </row>
    <row r="23" ht="15.75" customHeight="1">
      <c r="B23" s="1"/>
      <c r="C23" s="1"/>
      <c r="D23" s="1"/>
      <c r="E23" s="1"/>
      <c r="F23" s="1"/>
      <c r="G23" s="1"/>
    </row>
    <row r="24" ht="15.75" customHeight="1">
      <c r="B24" s="1"/>
      <c r="C24" s="1"/>
      <c r="D24" s="1"/>
      <c r="E24" s="1"/>
      <c r="F24" s="1"/>
      <c r="G24" s="1"/>
    </row>
    <row r="25" ht="15.75" customHeight="1">
      <c r="B25" s="1"/>
      <c r="C25" s="1"/>
      <c r="D25" s="1"/>
      <c r="E25" s="1"/>
      <c r="F25" s="1"/>
      <c r="G25" s="1"/>
    </row>
    <row r="26" ht="15.75" customHeight="1">
      <c r="B26" s="1"/>
      <c r="C26" s="1"/>
      <c r="D26" s="1"/>
      <c r="E26" s="1"/>
      <c r="F26" s="1"/>
      <c r="G26" s="1"/>
    </row>
    <row r="27" ht="15.75" customHeight="1">
      <c r="B27" s="1"/>
      <c r="C27" s="1"/>
      <c r="D27" s="1"/>
      <c r="E27" s="1"/>
      <c r="F27" s="1"/>
      <c r="G27" s="1"/>
    </row>
    <row r="28" ht="15.75" customHeight="1">
      <c r="B28" s="1"/>
      <c r="C28" s="1"/>
      <c r="D28" s="1"/>
      <c r="E28" s="1"/>
      <c r="F28" s="1"/>
      <c r="G28" s="1"/>
    </row>
    <row r="29" ht="15.75" customHeight="1">
      <c r="B29" s="1"/>
      <c r="C29" s="1"/>
      <c r="D29" s="1"/>
      <c r="E29" s="1"/>
      <c r="F29" s="1"/>
      <c r="G29" s="1"/>
    </row>
    <row r="30" ht="15.75" customHeight="1">
      <c r="B30" s="1"/>
      <c r="C30" s="1"/>
      <c r="D30" s="1"/>
      <c r="E30" s="1"/>
      <c r="F30" s="1"/>
      <c r="G30" s="1"/>
    </row>
    <row r="31" ht="15.75" customHeight="1">
      <c r="B31" s="1"/>
      <c r="C31" s="1"/>
      <c r="D31" s="1"/>
      <c r="E31" s="1"/>
      <c r="F31" s="1"/>
      <c r="G31" s="1"/>
    </row>
    <row r="32" ht="15.75" customHeight="1">
      <c r="B32" s="1"/>
      <c r="C32" s="1"/>
      <c r="D32" s="1"/>
      <c r="E32" s="1"/>
      <c r="F32" s="1"/>
      <c r="G32" s="1"/>
    </row>
    <row r="33" ht="15.75" customHeight="1">
      <c r="B33" s="1"/>
      <c r="C33" s="1"/>
      <c r="D33" s="1"/>
      <c r="E33" s="1"/>
      <c r="F33" s="1"/>
      <c r="G33" s="1"/>
    </row>
    <row r="34" ht="15.75" customHeight="1">
      <c r="B34" s="1"/>
      <c r="C34" s="1"/>
      <c r="D34" s="1"/>
      <c r="E34" s="1"/>
      <c r="F34" s="1"/>
      <c r="G34" s="1"/>
    </row>
    <row r="35" ht="15.75" customHeight="1">
      <c r="B35" s="1"/>
      <c r="C35" s="1"/>
      <c r="D35" s="1"/>
      <c r="E35" s="1"/>
      <c r="F35" s="1"/>
      <c r="G35" s="1"/>
    </row>
    <row r="36" ht="15.75" customHeight="1">
      <c r="B36" s="1"/>
      <c r="C36" s="1"/>
      <c r="D36" s="1"/>
      <c r="E36" s="1"/>
      <c r="F36" s="1"/>
      <c r="G36" s="1"/>
    </row>
    <row r="37" ht="15.75" customHeight="1">
      <c r="B37" s="1"/>
      <c r="C37" s="1"/>
      <c r="D37" s="1"/>
      <c r="E37" s="1"/>
      <c r="F37" s="1"/>
      <c r="G37" s="1"/>
    </row>
    <row r="38" ht="15.75" customHeight="1">
      <c r="B38" s="1"/>
      <c r="C38" s="1"/>
      <c r="D38" s="1"/>
      <c r="E38" s="1"/>
      <c r="F38" s="1"/>
      <c r="G38" s="1"/>
    </row>
    <row r="39" ht="15.75" customHeight="1">
      <c r="B39" s="1"/>
      <c r="C39" s="1"/>
      <c r="D39" s="1"/>
      <c r="E39" s="1"/>
      <c r="F39" s="1"/>
      <c r="G39" s="1"/>
    </row>
    <row r="40" ht="15.75" customHeight="1">
      <c r="B40" s="1"/>
      <c r="C40" s="1"/>
      <c r="D40" s="1"/>
      <c r="E40" s="1"/>
      <c r="F40" s="1"/>
      <c r="G40" s="1"/>
    </row>
    <row r="41" ht="15.75" customHeight="1">
      <c r="B41" s="1"/>
      <c r="C41" s="1"/>
      <c r="D41" s="1"/>
      <c r="E41" s="1"/>
      <c r="F41" s="1"/>
      <c r="G41" s="1"/>
    </row>
    <row r="42" ht="15.75" customHeight="1">
      <c r="B42" s="1"/>
      <c r="C42" s="1"/>
      <c r="D42" s="1"/>
      <c r="E42" s="1"/>
      <c r="F42" s="1"/>
      <c r="G42" s="1"/>
    </row>
    <row r="43" ht="15.75" customHeight="1">
      <c r="B43" s="1"/>
      <c r="C43" s="1"/>
      <c r="D43" s="1"/>
      <c r="E43" s="1"/>
      <c r="F43" s="1"/>
      <c r="G43" s="1"/>
    </row>
    <row r="44" ht="15.75" customHeight="1">
      <c r="B44" s="1"/>
      <c r="C44" s="1"/>
      <c r="D44" s="1"/>
      <c r="E44" s="1"/>
      <c r="F44" s="1"/>
      <c r="G44" s="1"/>
    </row>
    <row r="45" ht="15.75" customHeight="1">
      <c r="B45" s="1"/>
      <c r="C45" s="1"/>
      <c r="D45" s="1"/>
      <c r="E45" s="1"/>
      <c r="F45" s="1"/>
      <c r="G45" s="1"/>
    </row>
    <row r="46" ht="15.75" customHeight="1">
      <c r="B46" s="1"/>
      <c r="C46" s="1"/>
      <c r="D46" s="1"/>
      <c r="E46" s="1"/>
      <c r="F46" s="1"/>
      <c r="G46" s="1"/>
    </row>
    <row r="47" ht="15.75" customHeight="1">
      <c r="B47" s="1"/>
      <c r="C47" s="1"/>
      <c r="D47" s="1"/>
      <c r="E47" s="1"/>
      <c r="F47" s="1"/>
      <c r="G47" s="1"/>
    </row>
    <row r="48" ht="15.75" customHeight="1">
      <c r="B48" s="1"/>
      <c r="C48" s="1"/>
      <c r="D48" s="1"/>
      <c r="E48" s="1"/>
      <c r="F48" s="1"/>
      <c r="G48" s="1"/>
    </row>
    <row r="49" ht="15.75" customHeight="1">
      <c r="B49" s="1"/>
      <c r="C49" s="1"/>
      <c r="D49" s="1"/>
      <c r="E49" s="1"/>
      <c r="F49" s="1"/>
      <c r="G49" s="1"/>
    </row>
    <row r="50" ht="15.75" customHeight="1">
      <c r="B50" s="1"/>
      <c r="C50" s="1"/>
      <c r="D50" s="1"/>
      <c r="E50" s="1"/>
      <c r="F50" s="1"/>
      <c r="G50" s="1"/>
    </row>
    <row r="51" ht="15.75" customHeight="1">
      <c r="B51" s="1"/>
      <c r="C51" s="1"/>
      <c r="D51" s="1"/>
      <c r="E51" s="1"/>
      <c r="F51" s="1"/>
      <c r="G51" s="1"/>
    </row>
    <row r="52" ht="15.75" customHeight="1">
      <c r="B52" s="1"/>
      <c r="C52" s="1"/>
      <c r="D52" s="1"/>
      <c r="E52" s="1"/>
      <c r="F52" s="1"/>
      <c r="G52" s="1"/>
    </row>
    <row r="53" ht="15.75" customHeight="1">
      <c r="B53" s="1"/>
      <c r="C53" s="1"/>
      <c r="D53" s="1"/>
      <c r="E53" s="1"/>
      <c r="F53" s="1"/>
      <c r="G53" s="1"/>
    </row>
    <row r="54" ht="15.75" customHeight="1">
      <c r="B54" s="1"/>
      <c r="C54" s="1"/>
      <c r="D54" s="1"/>
      <c r="E54" s="1"/>
      <c r="F54" s="1"/>
      <c r="G54" s="1"/>
    </row>
    <row r="55" ht="15.75" customHeight="1">
      <c r="B55" s="1"/>
      <c r="C55" s="1"/>
      <c r="D55" s="1"/>
      <c r="E55" s="1"/>
      <c r="F55" s="1"/>
      <c r="G55" s="1"/>
    </row>
    <row r="56" ht="15.75" customHeight="1">
      <c r="B56" s="1"/>
      <c r="C56" s="1"/>
      <c r="D56" s="1"/>
      <c r="E56" s="1"/>
      <c r="F56" s="1"/>
      <c r="G56" s="1"/>
    </row>
    <row r="57" ht="15.75" customHeight="1">
      <c r="B57" s="1"/>
      <c r="C57" s="1"/>
      <c r="D57" s="1"/>
      <c r="E57" s="1"/>
      <c r="F57" s="1"/>
      <c r="G57" s="1"/>
    </row>
    <row r="58" ht="15.75" customHeight="1">
      <c r="B58" s="1"/>
      <c r="C58" s="1"/>
      <c r="D58" s="1"/>
      <c r="E58" s="1"/>
      <c r="F58" s="1"/>
      <c r="G58" s="1"/>
    </row>
    <row r="59" ht="15.75" customHeight="1">
      <c r="B59" s="1"/>
      <c r="C59" s="1"/>
      <c r="D59" s="1"/>
      <c r="E59" s="1"/>
      <c r="F59" s="1"/>
      <c r="G59" s="1"/>
    </row>
    <row r="60" ht="15.75" customHeight="1">
      <c r="B60" s="1"/>
      <c r="C60" s="1"/>
      <c r="D60" s="1"/>
      <c r="E60" s="1"/>
      <c r="F60" s="1"/>
      <c r="G60" s="1"/>
    </row>
    <row r="61" ht="15.75" customHeight="1">
      <c r="B61" s="1"/>
      <c r="C61" s="1"/>
      <c r="D61" s="1"/>
      <c r="E61" s="1"/>
      <c r="F61" s="1"/>
      <c r="G61" s="1"/>
    </row>
    <row r="62" ht="15.75" customHeight="1">
      <c r="B62" s="1"/>
      <c r="C62" s="1"/>
      <c r="D62" s="1"/>
      <c r="E62" s="1"/>
      <c r="F62" s="1"/>
      <c r="G62" s="1"/>
    </row>
    <row r="63" ht="15.75" customHeight="1">
      <c r="B63" s="1"/>
      <c r="C63" s="1"/>
      <c r="D63" s="1"/>
      <c r="E63" s="1"/>
      <c r="F63" s="1"/>
      <c r="G63" s="1"/>
    </row>
    <row r="64" ht="15.75" customHeight="1">
      <c r="B64" s="1"/>
      <c r="C64" s="1"/>
      <c r="D64" s="1"/>
      <c r="E64" s="1"/>
      <c r="F64" s="1"/>
      <c r="G64" s="1"/>
    </row>
    <row r="65" ht="15.75" customHeight="1">
      <c r="B65" s="1"/>
      <c r="C65" s="1"/>
      <c r="D65" s="1"/>
      <c r="E65" s="1"/>
      <c r="F65" s="1"/>
      <c r="G65" s="1"/>
    </row>
    <row r="66" ht="15.75" customHeight="1">
      <c r="B66" s="1"/>
      <c r="C66" s="1"/>
      <c r="D66" s="1"/>
      <c r="E66" s="1"/>
      <c r="F66" s="1"/>
      <c r="G66" s="1"/>
    </row>
    <row r="67" ht="15.75" customHeight="1">
      <c r="B67" s="1"/>
      <c r="C67" s="1"/>
      <c r="D67" s="1"/>
      <c r="E67" s="1"/>
      <c r="F67" s="1"/>
      <c r="G67" s="1"/>
    </row>
    <row r="68" ht="15.75" customHeight="1">
      <c r="B68" s="1"/>
      <c r="C68" s="1"/>
      <c r="D68" s="1"/>
      <c r="E68" s="1"/>
      <c r="F68" s="1"/>
      <c r="G68" s="1"/>
    </row>
    <row r="69" ht="15.75" customHeight="1">
      <c r="B69" s="1"/>
      <c r="C69" s="1"/>
      <c r="D69" s="1"/>
      <c r="E69" s="1"/>
      <c r="F69" s="1"/>
      <c r="G69" s="1"/>
    </row>
    <row r="70" ht="15.75" customHeight="1">
      <c r="B70" s="1"/>
      <c r="C70" s="1"/>
      <c r="D70" s="1"/>
      <c r="E70" s="1"/>
      <c r="F70" s="1"/>
      <c r="G70" s="1"/>
    </row>
    <row r="71" ht="15.75" customHeight="1">
      <c r="B71" s="1"/>
      <c r="C71" s="1"/>
      <c r="D71" s="1"/>
      <c r="E71" s="1"/>
      <c r="F71" s="1"/>
      <c r="G71" s="1"/>
    </row>
    <row r="72" ht="15.75" customHeight="1">
      <c r="B72" s="1"/>
      <c r="C72" s="1"/>
      <c r="D72" s="1"/>
      <c r="E72" s="1"/>
      <c r="F72" s="1"/>
      <c r="G72" s="1"/>
    </row>
    <row r="73" ht="15.75" customHeight="1">
      <c r="B73" s="1"/>
      <c r="C73" s="1"/>
      <c r="D73" s="1"/>
      <c r="E73" s="1"/>
      <c r="F73" s="1"/>
      <c r="G73" s="1"/>
    </row>
    <row r="74" ht="15.75" customHeight="1">
      <c r="B74" s="1"/>
      <c r="C74" s="1"/>
      <c r="D74" s="1"/>
      <c r="E74" s="1"/>
      <c r="F74" s="1"/>
      <c r="G74" s="1"/>
    </row>
    <row r="75" ht="15.75" customHeight="1">
      <c r="B75" s="1"/>
      <c r="C75" s="1"/>
      <c r="D75" s="1"/>
      <c r="E75" s="1"/>
      <c r="F75" s="1"/>
      <c r="G75" s="1"/>
    </row>
    <row r="76" ht="15.75" customHeight="1">
      <c r="B76" s="1"/>
      <c r="C76" s="1"/>
      <c r="D76" s="1"/>
      <c r="E76" s="1"/>
      <c r="F76" s="1"/>
      <c r="G76" s="1"/>
    </row>
    <row r="77" ht="15.75" customHeight="1">
      <c r="B77" s="1"/>
      <c r="C77" s="1"/>
      <c r="D77" s="1"/>
      <c r="E77" s="1"/>
      <c r="F77" s="1"/>
      <c r="G77" s="1"/>
    </row>
    <row r="78" ht="15.75" customHeight="1">
      <c r="B78" s="1"/>
      <c r="C78" s="1"/>
      <c r="D78" s="1"/>
      <c r="E78" s="1"/>
      <c r="F78" s="1"/>
      <c r="G78" s="1"/>
    </row>
    <row r="79" ht="15.75" customHeight="1">
      <c r="B79" s="1"/>
      <c r="C79" s="1"/>
      <c r="D79" s="1"/>
      <c r="E79" s="1"/>
      <c r="F79" s="1"/>
      <c r="G79" s="1"/>
    </row>
    <row r="80" ht="15.75" customHeight="1">
      <c r="B80" s="1"/>
      <c r="C80" s="1"/>
      <c r="D80" s="1"/>
      <c r="E80" s="1"/>
      <c r="F80" s="1"/>
      <c r="G80" s="1"/>
    </row>
    <row r="81" ht="15.75" customHeight="1">
      <c r="B81" s="1"/>
      <c r="C81" s="1"/>
      <c r="D81" s="1"/>
      <c r="E81" s="1"/>
      <c r="F81" s="1"/>
      <c r="G81" s="1"/>
    </row>
    <row r="82" ht="15.75" customHeight="1">
      <c r="B82" s="1"/>
      <c r="C82" s="1"/>
      <c r="D82" s="1"/>
      <c r="E82" s="1"/>
      <c r="F82" s="1"/>
      <c r="G82" s="1"/>
    </row>
    <row r="83" ht="15.75" customHeight="1">
      <c r="B83" s="1"/>
      <c r="C83" s="1"/>
      <c r="D83" s="1"/>
      <c r="E83" s="1"/>
      <c r="F83" s="1"/>
      <c r="G83" s="1"/>
    </row>
    <row r="84" ht="15.75" customHeight="1">
      <c r="B84" s="1"/>
      <c r="C84" s="1"/>
      <c r="D84" s="1"/>
      <c r="E84" s="1"/>
      <c r="F84" s="1"/>
      <c r="G84" s="1"/>
    </row>
    <row r="85" ht="15.75" customHeight="1">
      <c r="B85" s="1"/>
      <c r="C85" s="1"/>
      <c r="D85" s="1"/>
      <c r="E85" s="1"/>
      <c r="F85" s="1"/>
      <c r="G85" s="1"/>
    </row>
    <row r="86" ht="15.75" customHeight="1">
      <c r="B86" s="1"/>
      <c r="C86" s="1"/>
      <c r="D86" s="1"/>
      <c r="E86" s="1"/>
      <c r="F86" s="1"/>
      <c r="G86" s="1"/>
    </row>
    <row r="87" ht="15.75" customHeight="1">
      <c r="B87" s="1"/>
      <c r="C87" s="1"/>
      <c r="D87" s="1"/>
      <c r="E87" s="1"/>
      <c r="F87" s="1"/>
      <c r="G87" s="1"/>
    </row>
    <row r="88" ht="15.75" customHeight="1">
      <c r="B88" s="1"/>
      <c r="C88" s="1"/>
      <c r="D88" s="1"/>
      <c r="E88" s="1"/>
      <c r="F88" s="1"/>
      <c r="G88" s="1"/>
    </row>
    <row r="89" ht="15.75" customHeight="1">
      <c r="B89" s="1"/>
      <c r="C89" s="1"/>
      <c r="D89" s="1"/>
      <c r="E89" s="1"/>
      <c r="F89" s="1"/>
      <c r="G89" s="1"/>
    </row>
    <row r="90" ht="15.75" customHeight="1">
      <c r="B90" s="1"/>
      <c r="C90" s="1"/>
      <c r="D90" s="1"/>
      <c r="E90" s="1"/>
      <c r="F90" s="1"/>
      <c r="G90" s="1"/>
    </row>
    <row r="91" ht="15.75" customHeight="1">
      <c r="B91" s="1"/>
      <c r="C91" s="1"/>
      <c r="D91" s="1"/>
      <c r="E91" s="1"/>
      <c r="F91" s="1"/>
      <c r="G91" s="1"/>
    </row>
    <row r="92" ht="15.75" customHeight="1">
      <c r="B92" s="1"/>
      <c r="C92" s="1"/>
      <c r="D92" s="1"/>
      <c r="E92" s="1"/>
      <c r="F92" s="1"/>
      <c r="G92" s="1"/>
    </row>
    <row r="93" ht="15.75" customHeight="1">
      <c r="B93" s="1"/>
      <c r="C93" s="1"/>
      <c r="D93" s="1"/>
      <c r="E93" s="1"/>
      <c r="F93" s="1"/>
      <c r="G93" s="1"/>
    </row>
    <row r="94" ht="15.75" customHeight="1">
      <c r="B94" s="1"/>
      <c r="C94" s="1"/>
      <c r="D94" s="1"/>
      <c r="E94" s="1"/>
      <c r="F94" s="1"/>
      <c r="G94" s="1"/>
    </row>
    <row r="95" ht="15.75" customHeight="1">
      <c r="B95" s="1"/>
      <c r="C95" s="1"/>
      <c r="D95" s="1"/>
      <c r="E95" s="1"/>
      <c r="F95" s="1"/>
      <c r="G95" s="1"/>
    </row>
    <row r="96" ht="15.75" customHeight="1">
      <c r="B96" s="1"/>
      <c r="C96" s="1"/>
      <c r="D96" s="1"/>
      <c r="E96" s="1"/>
      <c r="F96" s="1"/>
      <c r="G96" s="1"/>
    </row>
    <row r="97" ht="15.75" customHeight="1">
      <c r="B97" s="1"/>
      <c r="C97" s="1"/>
      <c r="D97" s="1"/>
      <c r="E97" s="1"/>
      <c r="F97" s="1"/>
      <c r="G97" s="1"/>
    </row>
    <row r="98" ht="15.75" customHeight="1">
      <c r="B98" s="1"/>
      <c r="C98" s="1"/>
      <c r="D98" s="1"/>
      <c r="E98" s="1"/>
      <c r="F98" s="1"/>
      <c r="G98" s="1"/>
    </row>
    <row r="99" ht="15.75" customHeight="1">
      <c r="B99" s="1"/>
      <c r="C99" s="1"/>
      <c r="D99" s="1"/>
      <c r="E99" s="1"/>
      <c r="F99" s="1"/>
      <c r="G99" s="1"/>
    </row>
    <row r="100" ht="15.75" customHeight="1">
      <c r="B100" s="1"/>
      <c r="C100" s="1"/>
      <c r="D100" s="1"/>
      <c r="E100" s="1"/>
      <c r="F100" s="1"/>
      <c r="G100" s="1"/>
    </row>
    <row r="101" ht="15.75" customHeight="1">
      <c r="B101" s="1"/>
      <c r="C101" s="1"/>
      <c r="D101" s="1"/>
      <c r="E101" s="1"/>
      <c r="F101" s="1"/>
      <c r="G101" s="1"/>
    </row>
    <row r="102" ht="15.75" customHeight="1">
      <c r="B102" s="1"/>
      <c r="C102" s="1"/>
      <c r="D102" s="1"/>
      <c r="E102" s="1"/>
      <c r="F102" s="1"/>
      <c r="G102" s="1"/>
    </row>
    <row r="103" ht="15.75" customHeight="1">
      <c r="B103" s="1"/>
      <c r="C103" s="1"/>
      <c r="D103" s="1"/>
      <c r="E103" s="1"/>
      <c r="F103" s="1"/>
      <c r="G103" s="1"/>
    </row>
    <row r="104" ht="15.75" customHeight="1">
      <c r="B104" s="1"/>
      <c r="C104" s="1"/>
      <c r="D104" s="1"/>
      <c r="E104" s="1"/>
      <c r="F104" s="1"/>
      <c r="G104" s="1"/>
    </row>
    <row r="105" ht="15.75" customHeight="1">
      <c r="B105" s="1"/>
      <c r="C105" s="1"/>
      <c r="D105" s="1"/>
      <c r="E105" s="1"/>
      <c r="F105" s="1"/>
      <c r="G105" s="1"/>
    </row>
    <row r="106" ht="15.75" customHeight="1">
      <c r="B106" s="1"/>
      <c r="C106" s="1"/>
      <c r="D106" s="1"/>
      <c r="E106" s="1"/>
      <c r="F106" s="1"/>
      <c r="G106" s="1"/>
    </row>
    <row r="107" ht="15.75" customHeight="1">
      <c r="B107" s="1"/>
      <c r="C107" s="1"/>
      <c r="D107" s="1"/>
      <c r="E107" s="1"/>
      <c r="F107" s="1"/>
      <c r="G107" s="1"/>
    </row>
    <row r="108" ht="15.75" customHeight="1">
      <c r="B108" s="1"/>
      <c r="C108" s="1"/>
      <c r="D108" s="1"/>
      <c r="E108" s="1"/>
      <c r="F108" s="1"/>
      <c r="G108" s="1"/>
    </row>
    <row r="109" ht="15.75" customHeight="1">
      <c r="B109" s="1"/>
      <c r="C109" s="1"/>
      <c r="D109" s="1"/>
      <c r="E109" s="1"/>
      <c r="F109" s="1"/>
      <c r="G109" s="1"/>
    </row>
    <row r="110" ht="15.75" customHeight="1">
      <c r="B110" s="1"/>
      <c r="C110" s="1"/>
      <c r="D110" s="1"/>
      <c r="E110" s="1"/>
      <c r="F110" s="1"/>
      <c r="G110" s="1"/>
    </row>
    <row r="111" ht="15.75" customHeight="1">
      <c r="B111" s="1"/>
      <c r="C111" s="1"/>
      <c r="D111" s="1"/>
      <c r="E111" s="1"/>
      <c r="F111" s="1"/>
      <c r="G111" s="1"/>
    </row>
    <row r="112" ht="15.75" customHeight="1">
      <c r="B112" s="1"/>
      <c r="C112" s="1"/>
      <c r="D112" s="1"/>
      <c r="E112" s="1"/>
      <c r="F112" s="1"/>
      <c r="G112" s="1"/>
    </row>
    <row r="113" ht="15.75" customHeight="1">
      <c r="B113" s="1"/>
      <c r="C113" s="1"/>
      <c r="D113" s="1"/>
      <c r="E113" s="1"/>
      <c r="F113" s="1"/>
      <c r="G113" s="1"/>
    </row>
    <row r="114" ht="15.75" customHeight="1">
      <c r="B114" s="1"/>
      <c r="C114" s="1"/>
      <c r="D114" s="1"/>
      <c r="E114" s="1"/>
      <c r="F114" s="1"/>
      <c r="G114" s="1"/>
    </row>
    <row r="115" ht="15.75" customHeight="1">
      <c r="B115" s="1"/>
      <c r="C115" s="1"/>
      <c r="D115" s="1"/>
      <c r="E115" s="1"/>
      <c r="F115" s="1"/>
      <c r="G115" s="1"/>
    </row>
    <row r="116" ht="15.75" customHeight="1">
      <c r="B116" s="1"/>
      <c r="C116" s="1"/>
      <c r="D116" s="1"/>
      <c r="E116" s="1"/>
      <c r="F116" s="1"/>
      <c r="G116" s="1"/>
    </row>
    <row r="117" ht="15.75" customHeight="1">
      <c r="B117" s="1"/>
      <c r="C117" s="1"/>
      <c r="D117" s="1"/>
      <c r="E117" s="1"/>
      <c r="F117" s="1"/>
      <c r="G117" s="1"/>
    </row>
    <row r="118" ht="15.75" customHeight="1">
      <c r="B118" s="1"/>
      <c r="C118" s="1"/>
      <c r="D118" s="1"/>
      <c r="E118" s="1"/>
      <c r="F118" s="1"/>
      <c r="G118" s="1"/>
    </row>
    <row r="119" ht="15.75" customHeight="1">
      <c r="B119" s="1"/>
      <c r="C119" s="1"/>
      <c r="D119" s="1"/>
      <c r="E119" s="1"/>
      <c r="F119" s="1"/>
      <c r="G119" s="1"/>
    </row>
    <row r="120" ht="15.75" customHeight="1">
      <c r="B120" s="1"/>
      <c r="C120" s="1"/>
      <c r="D120" s="1"/>
      <c r="E120" s="1"/>
      <c r="F120" s="1"/>
      <c r="G120" s="1"/>
    </row>
    <row r="121" ht="15.75" customHeight="1">
      <c r="B121" s="1"/>
      <c r="C121" s="1"/>
      <c r="D121" s="1"/>
      <c r="E121" s="1"/>
      <c r="F121" s="1"/>
      <c r="G121" s="1"/>
    </row>
    <row r="122" ht="15.75" customHeight="1">
      <c r="B122" s="1"/>
      <c r="C122" s="1"/>
      <c r="D122" s="1"/>
      <c r="E122" s="1"/>
      <c r="F122" s="1"/>
      <c r="G122" s="1"/>
    </row>
    <row r="123" ht="15.75" customHeight="1">
      <c r="B123" s="1"/>
      <c r="C123" s="1"/>
      <c r="D123" s="1"/>
      <c r="E123" s="1"/>
      <c r="F123" s="1"/>
      <c r="G123" s="1"/>
    </row>
    <row r="124" ht="15.75" customHeight="1">
      <c r="B124" s="1"/>
      <c r="C124" s="1"/>
      <c r="D124" s="1"/>
      <c r="E124" s="1"/>
      <c r="F124" s="1"/>
      <c r="G124" s="1"/>
    </row>
    <row r="125" ht="15.75" customHeight="1">
      <c r="B125" s="1"/>
      <c r="C125" s="1"/>
      <c r="D125" s="1"/>
      <c r="E125" s="1"/>
      <c r="F125" s="1"/>
      <c r="G125" s="1"/>
    </row>
    <row r="126" ht="15.75" customHeight="1">
      <c r="B126" s="1"/>
      <c r="C126" s="1"/>
      <c r="D126" s="1"/>
      <c r="E126" s="1"/>
      <c r="F126" s="1"/>
      <c r="G126" s="1"/>
    </row>
    <row r="127" ht="15.75" customHeight="1">
      <c r="B127" s="1"/>
      <c r="C127" s="1"/>
      <c r="D127" s="1"/>
      <c r="E127" s="1"/>
      <c r="F127" s="1"/>
      <c r="G127" s="1"/>
    </row>
    <row r="128" ht="15.75" customHeight="1">
      <c r="B128" s="1"/>
      <c r="C128" s="1"/>
      <c r="D128" s="1"/>
      <c r="E128" s="1"/>
      <c r="F128" s="1"/>
      <c r="G128" s="1"/>
    </row>
    <row r="129" ht="15.75" customHeight="1">
      <c r="B129" s="1"/>
      <c r="C129" s="1"/>
      <c r="D129" s="1"/>
      <c r="E129" s="1"/>
      <c r="F129" s="1"/>
      <c r="G129" s="1"/>
    </row>
    <row r="130" ht="15.75" customHeight="1">
      <c r="B130" s="1"/>
      <c r="C130" s="1"/>
      <c r="D130" s="1"/>
      <c r="E130" s="1"/>
      <c r="F130" s="1"/>
      <c r="G130" s="1"/>
    </row>
    <row r="131" ht="15.75" customHeight="1">
      <c r="B131" s="1"/>
      <c r="C131" s="1"/>
      <c r="D131" s="1"/>
      <c r="E131" s="1"/>
      <c r="F131" s="1"/>
      <c r="G131" s="1"/>
    </row>
    <row r="132" ht="15.75" customHeight="1">
      <c r="B132" s="1"/>
      <c r="C132" s="1"/>
      <c r="D132" s="1"/>
      <c r="E132" s="1"/>
      <c r="F132" s="1"/>
      <c r="G132" s="1"/>
    </row>
    <row r="133" ht="15.75" customHeight="1">
      <c r="B133" s="1"/>
      <c r="C133" s="1"/>
      <c r="D133" s="1"/>
      <c r="E133" s="1"/>
      <c r="F133" s="1"/>
      <c r="G133" s="1"/>
    </row>
    <row r="134" ht="15.75" customHeight="1">
      <c r="B134" s="1"/>
      <c r="C134" s="1"/>
      <c r="D134" s="1"/>
      <c r="E134" s="1"/>
      <c r="F134" s="1"/>
      <c r="G134" s="1"/>
    </row>
    <row r="135" ht="15.75" customHeight="1">
      <c r="B135" s="1"/>
      <c r="C135" s="1"/>
      <c r="D135" s="1"/>
      <c r="E135" s="1"/>
      <c r="F135" s="1"/>
      <c r="G135" s="1"/>
    </row>
    <row r="136" ht="15.75" customHeight="1">
      <c r="B136" s="1"/>
      <c r="C136" s="1"/>
      <c r="D136" s="1"/>
      <c r="E136" s="1"/>
      <c r="F136" s="1"/>
      <c r="G136" s="1"/>
    </row>
    <row r="137" ht="15.75" customHeight="1">
      <c r="B137" s="1"/>
      <c r="C137" s="1"/>
      <c r="D137" s="1"/>
      <c r="E137" s="1"/>
      <c r="F137" s="1"/>
      <c r="G137" s="1"/>
    </row>
    <row r="138" ht="15.75" customHeight="1">
      <c r="B138" s="1"/>
      <c r="C138" s="1"/>
      <c r="D138" s="1"/>
      <c r="E138" s="1"/>
      <c r="F138" s="1"/>
      <c r="G138" s="1"/>
    </row>
    <row r="139" ht="15.75" customHeight="1">
      <c r="B139" s="1"/>
      <c r="C139" s="1"/>
      <c r="D139" s="1"/>
      <c r="E139" s="1"/>
      <c r="F139" s="1"/>
      <c r="G139" s="1"/>
    </row>
    <row r="140" ht="15.75" customHeight="1">
      <c r="B140" s="1"/>
      <c r="C140" s="1"/>
      <c r="D140" s="1"/>
      <c r="E140" s="1"/>
      <c r="F140" s="1"/>
      <c r="G140" s="1"/>
    </row>
    <row r="141" ht="15.75" customHeight="1">
      <c r="B141" s="1"/>
      <c r="C141" s="1"/>
      <c r="D141" s="1"/>
      <c r="E141" s="1"/>
      <c r="F141" s="1"/>
      <c r="G141" s="1"/>
    </row>
    <row r="142" ht="15.75" customHeight="1">
      <c r="B142" s="1"/>
      <c r="C142" s="1"/>
      <c r="D142" s="1"/>
      <c r="E142" s="1"/>
      <c r="F142" s="1"/>
      <c r="G142" s="1"/>
    </row>
    <row r="143" ht="15.75" customHeight="1">
      <c r="B143" s="1"/>
      <c r="C143" s="1"/>
      <c r="D143" s="1"/>
      <c r="E143" s="1"/>
      <c r="F143" s="1"/>
      <c r="G143" s="1"/>
    </row>
    <row r="144" ht="15.75" customHeight="1">
      <c r="B144" s="1"/>
      <c r="C144" s="1"/>
      <c r="D144" s="1"/>
      <c r="E144" s="1"/>
      <c r="F144" s="1"/>
      <c r="G144" s="1"/>
    </row>
    <row r="145" ht="15.75" customHeight="1">
      <c r="B145" s="1"/>
      <c r="C145" s="1"/>
      <c r="D145" s="1"/>
      <c r="E145" s="1"/>
      <c r="F145" s="1"/>
      <c r="G145" s="1"/>
    </row>
    <row r="146" ht="15.75" customHeight="1">
      <c r="B146" s="1"/>
      <c r="C146" s="1"/>
      <c r="D146" s="1"/>
      <c r="E146" s="1"/>
      <c r="F146" s="1"/>
      <c r="G146" s="1"/>
    </row>
    <row r="147" ht="15.75" customHeight="1">
      <c r="B147" s="1"/>
      <c r="C147" s="1"/>
      <c r="D147" s="1"/>
      <c r="E147" s="1"/>
      <c r="F147" s="1"/>
      <c r="G147" s="1"/>
    </row>
    <row r="148" ht="15.75" customHeight="1">
      <c r="B148" s="1"/>
      <c r="C148" s="1"/>
      <c r="D148" s="1"/>
      <c r="E148" s="1"/>
      <c r="F148" s="1"/>
      <c r="G148" s="1"/>
    </row>
    <row r="149" ht="15.75" customHeight="1">
      <c r="B149" s="1"/>
      <c r="C149" s="1"/>
      <c r="D149" s="1"/>
      <c r="E149" s="1"/>
      <c r="F149" s="1"/>
      <c r="G149" s="1"/>
    </row>
    <row r="150" ht="15.75" customHeight="1">
      <c r="B150" s="1"/>
      <c r="C150" s="1"/>
      <c r="D150" s="1"/>
      <c r="E150" s="1"/>
      <c r="F150" s="1"/>
      <c r="G150" s="1"/>
    </row>
    <row r="151" ht="15.75" customHeight="1">
      <c r="B151" s="1"/>
      <c r="C151" s="1"/>
      <c r="D151" s="1"/>
      <c r="E151" s="1"/>
      <c r="F151" s="1"/>
      <c r="G151" s="1"/>
    </row>
    <row r="152" ht="15.75" customHeight="1">
      <c r="B152" s="1"/>
      <c r="C152" s="1"/>
      <c r="D152" s="1"/>
      <c r="E152" s="1"/>
      <c r="F152" s="1"/>
      <c r="G152" s="1"/>
    </row>
    <row r="153" ht="15.75" customHeight="1">
      <c r="B153" s="1"/>
      <c r="C153" s="1"/>
      <c r="D153" s="1"/>
      <c r="E153" s="1"/>
      <c r="F153" s="1"/>
      <c r="G153" s="1"/>
    </row>
    <row r="154" ht="15.75" customHeight="1">
      <c r="B154" s="1"/>
      <c r="C154" s="1"/>
      <c r="D154" s="1"/>
      <c r="E154" s="1"/>
      <c r="F154" s="1"/>
      <c r="G154" s="1"/>
    </row>
    <row r="155" ht="15.75" customHeight="1">
      <c r="B155" s="1"/>
      <c r="C155" s="1"/>
      <c r="D155" s="1"/>
      <c r="E155" s="1"/>
      <c r="F155" s="1"/>
      <c r="G155" s="1"/>
    </row>
    <row r="156" ht="15.75" customHeight="1">
      <c r="B156" s="1"/>
      <c r="C156" s="1"/>
      <c r="D156" s="1"/>
      <c r="E156" s="1"/>
      <c r="F156" s="1"/>
      <c r="G156" s="1"/>
    </row>
    <row r="157" ht="15.75" customHeight="1">
      <c r="B157" s="1"/>
      <c r="C157" s="1"/>
      <c r="D157" s="1"/>
      <c r="E157" s="1"/>
      <c r="F157" s="1"/>
      <c r="G157" s="1"/>
    </row>
    <row r="158" ht="15.75" customHeight="1">
      <c r="B158" s="1"/>
      <c r="C158" s="1"/>
      <c r="D158" s="1"/>
      <c r="E158" s="1"/>
      <c r="F158" s="1"/>
      <c r="G158" s="1"/>
    </row>
    <row r="159" ht="15.75" customHeight="1">
      <c r="B159" s="1"/>
      <c r="C159" s="1"/>
      <c r="D159" s="1"/>
      <c r="E159" s="1"/>
      <c r="F159" s="1"/>
      <c r="G159" s="1"/>
    </row>
    <row r="160" ht="15.75" customHeight="1">
      <c r="B160" s="1"/>
      <c r="C160" s="1"/>
      <c r="D160" s="1"/>
      <c r="E160" s="1"/>
      <c r="F160" s="1"/>
      <c r="G160" s="1"/>
    </row>
    <row r="161" ht="15.75" customHeight="1">
      <c r="B161" s="1"/>
      <c r="C161" s="1"/>
      <c r="D161" s="1"/>
      <c r="E161" s="1"/>
      <c r="F161" s="1"/>
      <c r="G161" s="1"/>
    </row>
    <row r="162" ht="15.75" customHeight="1">
      <c r="B162" s="1"/>
      <c r="C162" s="1"/>
      <c r="D162" s="1"/>
      <c r="E162" s="1"/>
      <c r="F162" s="1"/>
      <c r="G162" s="1"/>
    </row>
    <row r="163" ht="15.75" customHeight="1">
      <c r="B163" s="1"/>
      <c r="C163" s="1"/>
      <c r="D163" s="1"/>
      <c r="E163" s="1"/>
      <c r="F163" s="1"/>
      <c r="G163" s="1"/>
    </row>
    <row r="164" ht="15.75" customHeight="1">
      <c r="B164" s="1"/>
      <c r="C164" s="1"/>
      <c r="D164" s="1"/>
      <c r="E164" s="1"/>
      <c r="F164" s="1"/>
      <c r="G164" s="1"/>
    </row>
    <row r="165" ht="15.75" customHeight="1">
      <c r="B165" s="1"/>
      <c r="C165" s="1"/>
      <c r="D165" s="1"/>
      <c r="E165" s="1"/>
      <c r="F165" s="1"/>
      <c r="G165" s="1"/>
    </row>
    <row r="166" ht="15.75" customHeight="1">
      <c r="B166" s="1"/>
      <c r="C166" s="1"/>
      <c r="D166" s="1"/>
      <c r="E166" s="1"/>
      <c r="F166" s="1"/>
      <c r="G166" s="1"/>
    </row>
    <row r="167" ht="15.75" customHeight="1">
      <c r="B167" s="1"/>
      <c r="C167" s="1"/>
      <c r="D167" s="1"/>
      <c r="E167" s="1"/>
      <c r="F167" s="1"/>
      <c r="G167" s="1"/>
    </row>
    <row r="168" ht="15.75" customHeight="1">
      <c r="B168" s="1"/>
      <c r="C168" s="1"/>
      <c r="D168" s="1"/>
      <c r="E168" s="1"/>
      <c r="F168" s="1"/>
      <c r="G168" s="1"/>
    </row>
    <row r="169" ht="15.75" customHeight="1">
      <c r="B169" s="1"/>
      <c r="C169" s="1"/>
      <c r="D169" s="1"/>
      <c r="E169" s="1"/>
      <c r="F169" s="1"/>
      <c r="G169" s="1"/>
    </row>
    <row r="170" ht="15.75" customHeight="1">
      <c r="B170" s="1"/>
      <c r="C170" s="1"/>
      <c r="D170" s="1"/>
      <c r="E170" s="1"/>
      <c r="F170" s="1"/>
      <c r="G170" s="1"/>
    </row>
    <row r="171" ht="15.75" customHeight="1">
      <c r="B171" s="1"/>
      <c r="C171" s="1"/>
      <c r="D171" s="1"/>
      <c r="E171" s="1"/>
      <c r="F171" s="1"/>
      <c r="G171" s="1"/>
    </row>
    <row r="172" ht="15.75" customHeight="1">
      <c r="B172" s="1"/>
      <c r="C172" s="1"/>
      <c r="D172" s="1"/>
      <c r="E172" s="1"/>
      <c r="F172" s="1"/>
      <c r="G172" s="1"/>
    </row>
    <row r="173" ht="15.75" customHeight="1">
      <c r="B173" s="1"/>
      <c r="C173" s="1"/>
      <c r="D173" s="1"/>
      <c r="E173" s="1"/>
      <c r="F173" s="1"/>
      <c r="G173" s="1"/>
    </row>
    <row r="174" ht="15.75" customHeight="1">
      <c r="B174" s="1"/>
      <c r="C174" s="1"/>
      <c r="D174" s="1"/>
      <c r="E174" s="1"/>
      <c r="F174" s="1"/>
      <c r="G174" s="1"/>
    </row>
    <row r="175" ht="15.75" customHeight="1">
      <c r="B175" s="1"/>
      <c r="C175" s="1"/>
      <c r="D175" s="1"/>
      <c r="E175" s="1"/>
      <c r="F175" s="1"/>
      <c r="G175" s="1"/>
    </row>
    <row r="176" ht="15.75" customHeight="1">
      <c r="B176" s="1"/>
      <c r="C176" s="1"/>
      <c r="D176" s="1"/>
      <c r="E176" s="1"/>
      <c r="F176" s="1"/>
      <c r="G176" s="1"/>
    </row>
    <row r="177" ht="15.75" customHeight="1">
      <c r="B177" s="1"/>
      <c r="C177" s="1"/>
      <c r="D177" s="1"/>
      <c r="E177" s="1"/>
      <c r="F177" s="1"/>
      <c r="G177" s="1"/>
    </row>
    <row r="178" ht="15.75" customHeight="1">
      <c r="B178" s="1"/>
      <c r="C178" s="1"/>
      <c r="D178" s="1"/>
      <c r="E178" s="1"/>
      <c r="F178" s="1"/>
      <c r="G178" s="1"/>
    </row>
    <row r="179" ht="15.75" customHeight="1">
      <c r="B179" s="1"/>
      <c r="C179" s="1"/>
      <c r="D179" s="1"/>
      <c r="E179" s="1"/>
      <c r="F179" s="1"/>
      <c r="G179" s="1"/>
    </row>
    <row r="180" ht="15.75" customHeight="1">
      <c r="B180" s="1"/>
      <c r="C180" s="1"/>
      <c r="D180" s="1"/>
      <c r="E180" s="1"/>
      <c r="F180" s="1"/>
      <c r="G180" s="1"/>
    </row>
    <row r="181" ht="15.75" customHeight="1">
      <c r="B181" s="1"/>
      <c r="C181" s="1"/>
      <c r="D181" s="1"/>
      <c r="E181" s="1"/>
      <c r="F181" s="1"/>
      <c r="G181" s="1"/>
    </row>
    <row r="182" ht="15.75" customHeight="1">
      <c r="B182" s="1"/>
      <c r="C182" s="1"/>
      <c r="D182" s="1"/>
      <c r="E182" s="1"/>
      <c r="F182" s="1"/>
      <c r="G182" s="1"/>
    </row>
    <row r="183" ht="15.75" customHeight="1">
      <c r="B183" s="1"/>
      <c r="C183" s="1"/>
      <c r="D183" s="1"/>
      <c r="E183" s="1"/>
      <c r="F183" s="1"/>
      <c r="G183" s="1"/>
    </row>
    <row r="184" ht="15.75" customHeight="1">
      <c r="B184" s="1"/>
      <c r="C184" s="1"/>
      <c r="D184" s="1"/>
      <c r="E184" s="1"/>
      <c r="F184" s="1"/>
      <c r="G184" s="1"/>
    </row>
    <row r="185" ht="15.75" customHeight="1">
      <c r="B185" s="1"/>
      <c r="C185" s="1"/>
      <c r="D185" s="1"/>
      <c r="E185" s="1"/>
      <c r="F185" s="1"/>
      <c r="G185" s="1"/>
    </row>
    <row r="186" ht="15.75" customHeight="1">
      <c r="B186" s="1"/>
      <c r="C186" s="1"/>
      <c r="D186" s="1"/>
      <c r="E186" s="1"/>
      <c r="F186" s="1"/>
      <c r="G186" s="1"/>
    </row>
    <row r="187" ht="15.75" customHeight="1">
      <c r="B187" s="1"/>
      <c r="C187" s="1"/>
      <c r="D187" s="1"/>
      <c r="E187" s="1"/>
      <c r="F187" s="1"/>
      <c r="G187" s="1"/>
    </row>
    <row r="188" ht="15.75" customHeight="1">
      <c r="B188" s="1"/>
      <c r="C188" s="1"/>
      <c r="D188" s="1"/>
      <c r="E188" s="1"/>
      <c r="F188" s="1"/>
      <c r="G188" s="1"/>
    </row>
    <row r="189" ht="15.75" customHeight="1">
      <c r="B189" s="1"/>
      <c r="C189" s="1"/>
      <c r="D189" s="1"/>
      <c r="E189" s="1"/>
      <c r="F189" s="1"/>
      <c r="G189" s="1"/>
    </row>
    <row r="190" ht="15.75" customHeight="1">
      <c r="B190" s="1"/>
      <c r="C190" s="1"/>
      <c r="D190" s="1"/>
      <c r="E190" s="1"/>
      <c r="F190" s="1"/>
      <c r="G190" s="1"/>
    </row>
    <row r="191" ht="15.75" customHeight="1">
      <c r="B191" s="1"/>
      <c r="C191" s="1"/>
      <c r="D191" s="1"/>
      <c r="E191" s="1"/>
      <c r="F191" s="1"/>
      <c r="G191" s="1"/>
    </row>
    <row r="192" ht="15.75" customHeight="1">
      <c r="B192" s="1"/>
      <c r="C192" s="1"/>
      <c r="D192" s="1"/>
      <c r="E192" s="1"/>
      <c r="F192" s="1"/>
      <c r="G192" s="1"/>
    </row>
    <row r="193" ht="15.75" customHeight="1">
      <c r="B193" s="1"/>
      <c r="C193" s="1"/>
      <c r="D193" s="1"/>
      <c r="E193" s="1"/>
      <c r="F193" s="1"/>
      <c r="G193" s="1"/>
    </row>
    <row r="194" ht="15.75" customHeight="1">
      <c r="B194" s="1"/>
      <c r="C194" s="1"/>
      <c r="D194" s="1"/>
      <c r="E194" s="1"/>
      <c r="F194" s="1"/>
      <c r="G194" s="1"/>
    </row>
    <row r="195" ht="15.75" customHeight="1">
      <c r="B195" s="1"/>
      <c r="C195" s="1"/>
      <c r="D195" s="1"/>
      <c r="E195" s="1"/>
      <c r="F195" s="1"/>
      <c r="G195" s="1"/>
    </row>
    <row r="196" ht="15.75" customHeight="1">
      <c r="B196" s="1"/>
      <c r="C196" s="1"/>
      <c r="D196" s="1"/>
      <c r="E196" s="1"/>
      <c r="F196" s="1"/>
      <c r="G196" s="1"/>
    </row>
    <row r="197" ht="15.75" customHeight="1">
      <c r="B197" s="1"/>
      <c r="C197" s="1"/>
      <c r="D197" s="1"/>
      <c r="E197" s="1"/>
      <c r="F197" s="1"/>
      <c r="G197" s="1"/>
    </row>
    <row r="198" ht="15.75" customHeight="1">
      <c r="B198" s="1"/>
      <c r="C198" s="1"/>
      <c r="D198" s="1"/>
      <c r="E198" s="1"/>
      <c r="F198" s="1"/>
      <c r="G198" s="1"/>
    </row>
    <row r="199" ht="15.75" customHeight="1">
      <c r="B199" s="1"/>
      <c r="C199" s="1"/>
      <c r="D199" s="1"/>
      <c r="E199" s="1"/>
      <c r="F199" s="1"/>
      <c r="G199" s="1"/>
    </row>
    <row r="200" ht="15.75" customHeight="1">
      <c r="B200" s="1"/>
      <c r="C200" s="1"/>
      <c r="D200" s="1"/>
      <c r="E200" s="1"/>
      <c r="F200" s="1"/>
      <c r="G200" s="1"/>
    </row>
    <row r="201" ht="15.75" customHeight="1">
      <c r="B201" s="1"/>
      <c r="C201" s="1"/>
      <c r="D201" s="1"/>
      <c r="E201" s="1"/>
      <c r="F201" s="1"/>
      <c r="G201" s="1"/>
    </row>
    <row r="202" ht="15.75" customHeight="1">
      <c r="B202" s="1"/>
      <c r="C202" s="1"/>
      <c r="D202" s="1"/>
      <c r="E202" s="1"/>
      <c r="F202" s="1"/>
      <c r="G202" s="1"/>
    </row>
    <row r="203" ht="15.75" customHeight="1">
      <c r="B203" s="1"/>
      <c r="C203" s="1"/>
      <c r="D203" s="1"/>
      <c r="E203" s="1"/>
      <c r="F203" s="1"/>
      <c r="G203" s="1"/>
    </row>
    <row r="204" ht="15.75" customHeight="1">
      <c r="B204" s="1"/>
      <c r="C204" s="1"/>
      <c r="D204" s="1"/>
      <c r="E204" s="1"/>
      <c r="F204" s="1"/>
      <c r="G204" s="1"/>
    </row>
    <row r="205" ht="15.75" customHeight="1">
      <c r="B205" s="1"/>
      <c r="C205" s="1"/>
      <c r="D205" s="1"/>
      <c r="E205" s="1"/>
      <c r="F205" s="1"/>
      <c r="G205" s="1"/>
    </row>
    <row r="206" ht="15.75" customHeight="1">
      <c r="B206" s="1"/>
      <c r="C206" s="1"/>
      <c r="D206" s="1"/>
      <c r="E206" s="1"/>
      <c r="F206" s="1"/>
      <c r="G206" s="1"/>
    </row>
    <row r="207" ht="15.75" customHeight="1">
      <c r="B207" s="1"/>
      <c r="C207" s="1"/>
      <c r="D207" s="1"/>
      <c r="E207" s="1"/>
      <c r="F207" s="1"/>
      <c r="G207" s="1"/>
    </row>
    <row r="208" ht="15.75" customHeight="1">
      <c r="B208" s="1"/>
      <c r="C208" s="1"/>
      <c r="D208" s="1"/>
      <c r="E208" s="1"/>
      <c r="F208" s="1"/>
      <c r="G208" s="1"/>
    </row>
    <row r="209" ht="15.75" customHeight="1">
      <c r="B209" s="1"/>
      <c r="C209" s="1"/>
      <c r="D209" s="1"/>
      <c r="E209" s="1"/>
      <c r="F209" s="1"/>
      <c r="G209" s="1"/>
    </row>
    <row r="210" ht="15.75" customHeight="1">
      <c r="B210" s="1"/>
      <c r="C210" s="1"/>
      <c r="D210" s="1"/>
      <c r="E210" s="1"/>
      <c r="F210" s="1"/>
      <c r="G210" s="1"/>
    </row>
    <row r="211" ht="15.75" customHeight="1">
      <c r="B211" s="1"/>
      <c r="C211" s="1"/>
      <c r="D211" s="1"/>
      <c r="E211" s="1"/>
      <c r="F211" s="1"/>
      <c r="G211" s="1"/>
    </row>
    <row r="212" ht="15.75" customHeight="1">
      <c r="B212" s="1"/>
      <c r="C212" s="1"/>
      <c r="D212" s="1"/>
      <c r="E212" s="1"/>
      <c r="F212" s="1"/>
      <c r="G212" s="1"/>
    </row>
    <row r="213" ht="15.75" customHeight="1">
      <c r="B213" s="1"/>
      <c r="C213" s="1"/>
      <c r="D213" s="1"/>
      <c r="E213" s="1"/>
      <c r="F213" s="1"/>
      <c r="G213" s="1"/>
    </row>
    <row r="214" ht="15.75" customHeight="1">
      <c r="B214" s="1"/>
      <c r="C214" s="1"/>
      <c r="D214" s="1"/>
      <c r="E214" s="1"/>
      <c r="F214" s="1"/>
      <c r="G214" s="1"/>
    </row>
    <row r="215" ht="15.75" customHeight="1">
      <c r="B215" s="1"/>
      <c r="C215" s="1"/>
      <c r="D215" s="1"/>
      <c r="E215" s="1"/>
      <c r="F215" s="1"/>
      <c r="G215" s="1"/>
    </row>
    <row r="216" ht="15.75" customHeight="1">
      <c r="B216" s="1"/>
      <c r="C216" s="1"/>
      <c r="D216" s="1"/>
      <c r="E216" s="1"/>
      <c r="F216" s="1"/>
      <c r="G216" s="1"/>
    </row>
    <row r="217" ht="15.75" customHeight="1">
      <c r="B217" s="1"/>
      <c r="C217" s="1"/>
      <c r="D217" s="1"/>
      <c r="E217" s="1"/>
      <c r="F217" s="1"/>
      <c r="G217" s="1"/>
    </row>
    <row r="218" ht="15.75" customHeight="1">
      <c r="B218" s="1"/>
      <c r="C218" s="1"/>
      <c r="D218" s="1"/>
      <c r="E218" s="1"/>
      <c r="F218" s="1"/>
      <c r="G218" s="1"/>
    </row>
    <row r="219" ht="15.75" customHeight="1">
      <c r="B219" s="1"/>
      <c r="C219" s="1"/>
      <c r="D219" s="1"/>
      <c r="E219" s="1"/>
      <c r="F219" s="1"/>
      <c r="G219" s="1"/>
    </row>
    <row r="220" ht="15.75" customHeight="1">
      <c r="B220" s="1"/>
      <c r="C220" s="1"/>
      <c r="D220" s="1"/>
      <c r="E220" s="1"/>
      <c r="F220" s="1"/>
      <c r="G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